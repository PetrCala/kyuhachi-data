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Simple stats" sheetId="2" r:id="rId5"/>
    <sheet state="visible" name="Graphs" sheetId="3" r:id="rId6"/>
  </sheets>
  <definedNames/>
  <calcPr/>
  <extLst>
    <ext uri="GoogleSheetsCustomDataVersion2">
      <go:sheetsCustomData xmlns:go="http://customooxmlschemas.google.com/" r:id="rId7" roundtripDataChecksum="3byZUKtn3j9DbxWWle6m2bJLq+iLjnklj7iDkuMI8bg="/>
    </ext>
  </extLst>
</workbook>
</file>

<file path=xl/sharedStrings.xml><?xml version="1.0" encoding="utf-8"?>
<sst xmlns="http://schemas.openxmlformats.org/spreadsheetml/2006/main" count="102" uniqueCount="29">
  <si>
    <t>Day</t>
  </si>
  <si>
    <t>Date</t>
  </si>
  <si>
    <t>Distance (km)</t>
  </si>
  <si>
    <t>Cumulative dist (km)</t>
  </si>
  <si>
    <t>Speed (km/day)</t>
  </si>
  <si>
    <t>Steps</t>
  </si>
  <si>
    <t>Cumulative steps</t>
  </si>
  <si>
    <t xml:space="preserve">Steps per day </t>
  </si>
  <si>
    <t>Onsen</t>
  </si>
  <si>
    <t>Weight (kg)</t>
  </si>
  <si>
    <t>Island</t>
  </si>
  <si>
    <t>Hokkaido</t>
  </si>
  <si>
    <t>Honshu</t>
  </si>
  <si>
    <t>Shikoku</t>
  </si>
  <si>
    <t>Kyushu</t>
  </si>
  <si>
    <t>Total:</t>
  </si>
  <si>
    <t>Hokkaido:</t>
  </si>
  <si>
    <t>Honshu:</t>
  </si>
  <si>
    <t>Shikoku:</t>
  </si>
  <si>
    <t>Kyushu:</t>
  </si>
  <si>
    <t>Distance walked (km):</t>
  </si>
  <si>
    <t>Days taken:</t>
  </si>
  <si>
    <t>Average pace (km/d):</t>
  </si>
  <si>
    <t>Steps taken:</t>
  </si>
  <si>
    <t>Average steps per day:</t>
  </si>
  <si>
    <t>Days with an onsen:</t>
  </si>
  <si>
    <t>Days with an onsen (%):</t>
  </si>
  <si>
    <t>Weight (start of section, kg):</t>
  </si>
  <si>
    <t>Weight change(kg):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</si>
</sst>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" xfId="0" applyFont="1" applyNumberFormat="1"/>
    <xf borderId="0" fillId="2" fontId="2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1" fillId="0" fontId="1" numFmtId="0" xfId="0" applyBorder="1" applyFont="1"/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0" fillId="0" fontId="3" numFmtId="0" xfId="0" applyFont="1"/>
    <xf borderId="5" fillId="0" fontId="1" numFmtId="0" xfId="0" applyBorder="1" applyFont="1"/>
    <xf borderId="0" fillId="0" fontId="3" numFmtId="164" xfId="0" applyFont="1" applyNumberFormat="1"/>
    <xf borderId="5" fillId="0" fontId="1" numFmtId="164" xfId="0" applyBorder="1" applyFont="1" applyNumberFormat="1"/>
    <xf borderId="0" fillId="0" fontId="3" numFmtId="1" xfId="0" applyFont="1" applyNumberFormat="1"/>
    <xf borderId="5" fillId="0" fontId="1" numFmtId="1" xfId="0" applyBorder="1" applyFont="1" applyNumberFormat="1"/>
    <xf borderId="0" fillId="0" fontId="1" numFmtId="3" xfId="0" applyFont="1" applyNumberFormat="1"/>
    <xf borderId="0" fillId="0" fontId="3" numFmtId="3" xfId="0" applyFont="1" applyNumberFormat="1"/>
    <xf borderId="5" fillId="0" fontId="1" numFmtId="3" xfId="0" applyBorder="1" applyFont="1" applyNumberFormat="1"/>
    <xf borderId="4" fillId="0" fontId="3" numFmtId="0" xfId="0" applyAlignment="1" applyBorder="1" applyFont="1">
      <alignment readingOrder="0"/>
    </xf>
    <xf borderId="0" fillId="0" fontId="1" numFmtId="10" xfId="0" applyFont="1" applyNumberFormat="1"/>
    <xf borderId="0" fillId="0" fontId="3" numFmtId="10" xfId="0" applyFont="1" applyNumberFormat="1"/>
    <xf borderId="5" fillId="0" fontId="1" numFmtId="10" xfId="0" applyBorder="1" applyFont="1" applyNumberFormat="1"/>
    <xf borderId="6" fillId="0" fontId="3" numFmtId="0" xfId="0" applyBorder="1" applyFont="1"/>
    <xf borderId="7" fillId="0" fontId="1" numFmtId="0" xfId="0" applyBorder="1" applyFont="1"/>
    <xf borderId="7" fillId="0" fontId="3" numFmtId="0" xfId="0" applyBorder="1" applyFont="1"/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Distance walked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Overview!$C$1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Overview!$A$2:$A$78</c:f>
            </c:strRef>
          </c:cat>
          <c:val>
            <c:numRef>
              <c:f>Overview!$C$2:$C$78</c:f>
              <c:numCache/>
            </c:numRef>
          </c:val>
        </c:ser>
        <c:axId val="1192307556"/>
        <c:axId val="567803993"/>
      </c:barChart>
      <c:lineChart>
        <c:varyColors val="0"/>
        <c:ser>
          <c:idx val="1"/>
          <c:order val="1"/>
          <c:tx>
            <c:strRef>
              <c:f>Overview!$E$1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Overview!$A$2:$A$78</c:f>
            </c:strRef>
          </c:cat>
          <c:val>
            <c:numRef>
              <c:f>Overview!$E$2:$E$78</c:f>
              <c:numCache/>
            </c:numRef>
          </c:val>
          <c:smooth val="0"/>
        </c:ser>
        <c:axId val="1192307556"/>
        <c:axId val="567803993"/>
      </c:lineChart>
      <c:catAx>
        <c:axId val="1192307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7803993"/>
      </c:catAx>
      <c:valAx>
        <c:axId val="567803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2307556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Steps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Overview!$F$1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Overview!$A$2:$A$78</c:f>
            </c:strRef>
          </c:cat>
          <c:val>
            <c:numRef>
              <c:f>Overview!$F$2:$F$999</c:f>
              <c:numCache/>
            </c:numRef>
          </c:val>
        </c:ser>
        <c:axId val="910505857"/>
        <c:axId val="1220876134"/>
      </c:barChart>
      <c:lineChart>
        <c:varyColors val="0"/>
        <c:ser>
          <c:idx val="1"/>
          <c:order val="1"/>
          <c:tx>
            <c:strRef>
              <c:f>Overview!$H$1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Overview!$A$2:$A$78</c:f>
            </c:strRef>
          </c:cat>
          <c:val>
            <c:numRef>
              <c:f>Overview!$H$2:$H$999</c:f>
              <c:numCache/>
            </c:numRef>
          </c:val>
          <c:smooth val="0"/>
        </c:ser>
        <c:axId val="910505857"/>
        <c:axId val="1220876134"/>
      </c:lineChart>
      <c:catAx>
        <c:axId val="910505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0876134"/>
      </c:catAx>
      <c:valAx>
        <c:axId val="1220876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10505857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Weight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Overview!$J$1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Overview!$B$2:$B$78</c:f>
            </c:strRef>
          </c:cat>
          <c:val>
            <c:numRef>
              <c:f>Overview!$J$2:$J$78</c:f>
              <c:numCache/>
            </c:numRef>
          </c:val>
        </c:ser>
        <c:axId val="1928298055"/>
        <c:axId val="1133753514"/>
      </c:areaChart>
      <c:catAx>
        <c:axId val="1928298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33753514"/>
      </c:catAx>
      <c:valAx>
        <c:axId val="113375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28298055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Days with an onsen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strRef>
              <c:f>Overview!$I$1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Overview!$B$2:$B$78</c:f>
            </c:strRef>
          </c:cat>
          <c:val>
            <c:numRef>
              <c:f>Overview!$I$2:$I$999</c:f>
              <c:numCache/>
            </c:numRef>
          </c:val>
        </c:ser>
        <c:axId val="1910267880"/>
        <c:axId val="602950463"/>
      </c:areaChart>
      <c:catAx>
        <c:axId val="1910267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2950463"/>
      </c:catAx>
      <c:valAx>
        <c:axId val="602950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10267880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180975</xdr:rowOff>
    </xdr:from>
    <xdr:ext cx="5762625" cy="3562350"/>
    <xdr:graphicFrame>
      <xdr:nvGraphicFramePr>
        <xdr:cNvPr id="180181126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942975</xdr:colOff>
      <xdr:row>0</xdr:row>
      <xdr:rowOff>180975</xdr:rowOff>
    </xdr:from>
    <xdr:ext cx="5762625" cy="3562350"/>
    <xdr:graphicFrame>
      <xdr:nvGraphicFramePr>
        <xdr:cNvPr id="115154995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952500</xdr:colOff>
      <xdr:row>19</xdr:row>
      <xdr:rowOff>180975</xdr:rowOff>
    </xdr:from>
    <xdr:ext cx="5762625" cy="3562350"/>
    <xdr:graphicFrame>
      <xdr:nvGraphicFramePr>
        <xdr:cNvPr id="406267529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942975</xdr:colOff>
      <xdr:row>19</xdr:row>
      <xdr:rowOff>180975</xdr:rowOff>
    </xdr:from>
    <xdr:ext cx="5762625" cy="3562350"/>
    <xdr:graphicFrame>
      <xdr:nvGraphicFramePr>
        <xdr:cNvPr id="1197641117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>
        <v>1.0</v>
      </c>
      <c r="B2" s="3">
        <v>44792.0</v>
      </c>
      <c r="C2" s="1">
        <v>11.0</v>
      </c>
      <c r="D2" s="1">
        <f t="shared" ref="D2:D78" si="1">SUM($C$2:C2)</f>
        <v>11</v>
      </c>
      <c r="E2" s="2">
        <f t="shared" ref="E2:E78" si="2">D2/A2</f>
        <v>11</v>
      </c>
      <c r="F2" s="1">
        <v>17615.0</v>
      </c>
      <c r="G2" s="1">
        <f t="shared" ref="G2:G78" si="3">SUM($F$2:F2)</f>
        <v>17615</v>
      </c>
      <c r="H2" s="4">
        <f t="shared" ref="H2:H78" si="4">G2/A2</f>
        <v>17615</v>
      </c>
      <c r="I2" s="1">
        <v>0.0</v>
      </c>
      <c r="J2" s="1">
        <v>69.0</v>
      </c>
      <c r="K2" s="5" t="s">
        <v>11</v>
      </c>
    </row>
    <row r="3" ht="15.75" customHeight="1">
      <c r="A3" s="1">
        <v>2.0</v>
      </c>
      <c r="B3" s="3">
        <v>44793.0</v>
      </c>
      <c r="C3" s="1">
        <v>39.0</v>
      </c>
      <c r="D3" s="1">
        <f t="shared" si="1"/>
        <v>50</v>
      </c>
      <c r="E3" s="2">
        <f t="shared" si="2"/>
        <v>25</v>
      </c>
      <c r="F3" s="1">
        <v>36881.0</v>
      </c>
      <c r="G3" s="1">
        <f t="shared" si="3"/>
        <v>54496</v>
      </c>
      <c r="H3" s="4">
        <f t="shared" si="4"/>
        <v>27248</v>
      </c>
      <c r="I3" s="1">
        <v>0.0</v>
      </c>
      <c r="J3" s="1">
        <v>69.0</v>
      </c>
      <c r="K3" s="5" t="s">
        <v>11</v>
      </c>
    </row>
    <row r="4" ht="15.75" customHeight="1">
      <c r="A4" s="1">
        <v>3.0</v>
      </c>
      <c r="B4" s="3">
        <v>44794.0</v>
      </c>
      <c r="C4" s="1">
        <v>37.0</v>
      </c>
      <c r="D4" s="1">
        <f t="shared" si="1"/>
        <v>87</v>
      </c>
      <c r="E4" s="2">
        <f t="shared" si="2"/>
        <v>29</v>
      </c>
      <c r="F4" s="1">
        <v>41559.0</v>
      </c>
      <c r="G4" s="1">
        <f t="shared" si="3"/>
        <v>96055</v>
      </c>
      <c r="H4" s="4">
        <f t="shared" si="4"/>
        <v>32018.33333</v>
      </c>
      <c r="I4" s="1">
        <v>1.0</v>
      </c>
      <c r="J4" s="1">
        <v>69.0</v>
      </c>
      <c r="K4" s="5" t="s">
        <v>11</v>
      </c>
    </row>
    <row r="5" ht="15.75" customHeight="1">
      <c r="A5" s="1">
        <v>4.0</v>
      </c>
      <c r="B5" s="3">
        <v>44795.0</v>
      </c>
      <c r="C5" s="1">
        <v>22.0</v>
      </c>
      <c r="D5" s="1">
        <f t="shared" si="1"/>
        <v>109</v>
      </c>
      <c r="E5" s="2">
        <f t="shared" si="2"/>
        <v>27.25</v>
      </c>
      <c r="F5" s="1">
        <v>36953.0</v>
      </c>
      <c r="G5" s="1">
        <f t="shared" si="3"/>
        <v>133008</v>
      </c>
      <c r="H5" s="4">
        <f t="shared" si="4"/>
        <v>33252</v>
      </c>
      <c r="I5" s="1">
        <v>1.0</v>
      </c>
      <c r="J5" s="1">
        <v>66.7</v>
      </c>
      <c r="K5" s="5" t="s">
        <v>11</v>
      </c>
    </row>
    <row r="6" ht="15.75" customHeight="1">
      <c r="A6" s="1">
        <v>5.0</v>
      </c>
      <c r="B6" s="3">
        <v>44796.0</v>
      </c>
      <c r="C6" s="1">
        <v>38.0</v>
      </c>
      <c r="D6" s="1">
        <f t="shared" si="1"/>
        <v>147</v>
      </c>
      <c r="E6" s="2">
        <f t="shared" si="2"/>
        <v>29.4</v>
      </c>
      <c r="F6" s="1">
        <v>46550.0</v>
      </c>
      <c r="G6" s="1">
        <f t="shared" si="3"/>
        <v>179558</v>
      </c>
      <c r="H6" s="4">
        <f t="shared" si="4"/>
        <v>35911.6</v>
      </c>
      <c r="I6" s="1">
        <v>1.0</v>
      </c>
      <c r="J6" s="1">
        <v>66.7</v>
      </c>
      <c r="K6" s="5" t="s">
        <v>11</v>
      </c>
    </row>
    <row r="7" ht="15.75" customHeight="1">
      <c r="A7" s="1">
        <v>6.0</v>
      </c>
      <c r="B7" s="3">
        <v>44797.0</v>
      </c>
      <c r="C7" s="1">
        <v>31.0</v>
      </c>
      <c r="D7" s="1">
        <f t="shared" si="1"/>
        <v>178</v>
      </c>
      <c r="E7" s="2">
        <f t="shared" si="2"/>
        <v>29.66666667</v>
      </c>
      <c r="F7" s="1">
        <v>35949.0</v>
      </c>
      <c r="G7" s="1">
        <f t="shared" si="3"/>
        <v>215507</v>
      </c>
      <c r="H7" s="4">
        <f t="shared" si="4"/>
        <v>35917.83333</v>
      </c>
      <c r="I7" s="1">
        <v>0.0</v>
      </c>
      <c r="J7" s="1">
        <v>66.7</v>
      </c>
      <c r="K7" s="5" t="s">
        <v>11</v>
      </c>
    </row>
    <row r="8" ht="15.75" customHeight="1">
      <c r="A8" s="1">
        <v>7.0</v>
      </c>
      <c r="B8" s="3">
        <v>44798.0</v>
      </c>
      <c r="C8" s="1">
        <v>46.0</v>
      </c>
      <c r="D8" s="1">
        <f t="shared" si="1"/>
        <v>224</v>
      </c>
      <c r="E8" s="2">
        <f t="shared" si="2"/>
        <v>32</v>
      </c>
      <c r="F8" s="1">
        <v>71083.0</v>
      </c>
      <c r="G8" s="1">
        <f t="shared" si="3"/>
        <v>286590</v>
      </c>
      <c r="H8" s="4">
        <f t="shared" si="4"/>
        <v>40941.42857</v>
      </c>
      <c r="I8" s="1">
        <v>1.0</v>
      </c>
      <c r="J8" s="1">
        <v>66.7</v>
      </c>
      <c r="K8" s="5" t="s">
        <v>11</v>
      </c>
    </row>
    <row r="9" ht="15.75" customHeight="1">
      <c r="A9" s="1">
        <v>8.0</v>
      </c>
      <c r="B9" s="3">
        <v>44799.0</v>
      </c>
      <c r="C9" s="1">
        <v>38.0</v>
      </c>
      <c r="D9" s="1">
        <f t="shared" si="1"/>
        <v>262</v>
      </c>
      <c r="E9" s="2">
        <f t="shared" si="2"/>
        <v>32.75</v>
      </c>
      <c r="F9" s="1">
        <v>48183.0</v>
      </c>
      <c r="G9" s="1">
        <f t="shared" si="3"/>
        <v>334773</v>
      </c>
      <c r="H9" s="4">
        <f t="shared" si="4"/>
        <v>41846.625</v>
      </c>
      <c r="I9" s="1">
        <v>1.0</v>
      </c>
      <c r="J9" s="1">
        <v>65.5</v>
      </c>
      <c r="K9" s="5" t="s">
        <v>11</v>
      </c>
    </row>
    <row r="10" ht="15.75" customHeight="1">
      <c r="A10" s="1">
        <v>9.0</v>
      </c>
      <c r="B10" s="3">
        <v>44800.0</v>
      </c>
      <c r="C10" s="1">
        <v>36.0</v>
      </c>
      <c r="D10" s="1">
        <f t="shared" si="1"/>
        <v>298</v>
      </c>
      <c r="E10" s="2">
        <f t="shared" si="2"/>
        <v>33.11111111</v>
      </c>
      <c r="F10" s="1">
        <v>53944.0</v>
      </c>
      <c r="G10" s="1">
        <f t="shared" si="3"/>
        <v>388717</v>
      </c>
      <c r="H10" s="4">
        <f t="shared" si="4"/>
        <v>43190.77778</v>
      </c>
      <c r="I10" s="1">
        <v>1.0</v>
      </c>
      <c r="J10" s="1">
        <v>66.6</v>
      </c>
      <c r="K10" s="5" t="s">
        <v>11</v>
      </c>
    </row>
    <row r="11" ht="15.75" customHeight="1">
      <c r="A11" s="1">
        <v>10.0</v>
      </c>
      <c r="B11" s="3">
        <v>44801.0</v>
      </c>
      <c r="C11" s="1">
        <v>36.0</v>
      </c>
      <c r="D11" s="1">
        <f t="shared" si="1"/>
        <v>334</v>
      </c>
      <c r="E11" s="2">
        <f t="shared" si="2"/>
        <v>33.4</v>
      </c>
      <c r="F11" s="1">
        <v>51124.0</v>
      </c>
      <c r="G11" s="1">
        <f t="shared" si="3"/>
        <v>439841</v>
      </c>
      <c r="H11" s="4">
        <f t="shared" si="4"/>
        <v>43984.1</v>
      </c>
      <c r="I11" s="1">
        <v>0.0</v>
      </c>
      <c r="J11" s="1">
        <v>66.6</v>
      </c>
      <c r="K11" s="5" t="s">
        <v>11</v>
      </c>
    </row>
    <row r="12" ht="15.75" customHeight="1">
      <c r="A12" s="1">
        <v>11.0</v>
      </c>
      <c r="B12" s="3">
        <v>44802.0</v>
      </c>
      <c r="C12" s="1">
        <v>51.0</v>
      </c>
      <c r="D12" s="1">
        <f t="shared" si="1"/>
        <v>385</v>
      </c>
      <c r="E12" s="2">
        <f t="shared" si="2"/>
        <v>35</v>
      </c>
      <c r="F12" s="1">
        <v>75307.0</v>
      </c>
      <c r="G12" s="1">
        <f t="shared" si="3"/>
        <v>515148</v>
      </c>
      <c r="H12" s="4">
        <f t="shared" si="4"/>
        <v>46831.63636</v>
      </c>
      <c r="I12" s="1">
        <v>1.0</v>
      </c>
      <c r="J12" s="1">
        <v>66.6</v>
      </c>
      <c r="K12" s="5" t="s">
        <v>11</v>
      </c>
    </row>
    <row r="13" ht="15.75" customHeight="1">
      <c r="A13" s="1">
        <v>12.0</v>
      </c>
      <c r="B13" s="3">
        <v>44803.0</v>
      </c>
      <c r="C13" s="1">
        <v>26.0</v>
      </c>
      <c r="D13" s="1">
        <f t="shared" si="1"/>
        <v>411</v>
      </c>
      <c r="E13" s="2">
        <f t="shared" si="2"/>
        <v>34.25</v>
      </c>
      <c r="F13" s="1">
        <v>38291.0</v>
      </c>
      <c r="G13" s="1">
        <f t="shared" si="3"/>
        <v>553439</v>
      </c>
      <c r="H13" s="4">
        <f t="shared" si="4"/>
        <v>46119.91667</v>
      </c>
      <c r="I13" s="1">
        <v>1.0</v>
      </c>
      <c r="J13" s="1">
        <v>66.6</v>
      </c>
      <c r="K13" s="5" t="s">
        <v>11</v>
      </c>
    </row>
    <row r="14" ht="15.75" customHeight="1">
      <c r="A14" s="1">
        <v>13.0</v>
      </c>
      <c r="B14" s="3">
        <v>44804.0</v>
      </c>
      <c r="C14" s="1">
        <v>21.0</v>
      </c>
      <c r="D14" s="1">
        <f t="shared" si="1"/>
        <v>432</v>
      </c>
      <c r="E14" s="2">
        <f t="shared" si="2"/>
        <v>33.23076923</v>
      </c>
      <c r="F14" s="1">
        <v>28211.0</v>
      </c>
      <c r="G14" s="1">
        <f t="shared" si="3"/>
        <v>581650</v>
      </c>
      <c r="H14" s="4">
        <f t="shared" si="4"/>
        <v>44742.30769</v>
      </c>
      <c r="I14" s="1">
        <v>0.0</v>
      </c>
      <c r="J14" s="1">
        <v>64.5</v>
      </c>
      <c r="K14" s="5" t="s">
        <v>11</v>
      </c>
    </row>
    <row r="15" ht="15.75" customHeight="1">
      <c r="A15" s="1">
        <v>14.0</v>
      </c>
      <c r="B15" s="3">
        <v>44805.0</v>
      </c>
      <c r="C15" s="1">
        <v>37.0</v>
      </c>
      <c r="D15" s="1">
        <f t="shared" si="1"/>
        <v>469</v>
      </c>
      <c r="E15" s="2">
        <f t="shared" si="2"/>
        <v>33.5</v>
      </c>
      <c r="F15" s="1">
        <v>41341.0</v>
      </c>
      <c r="G15" s="1">
        <f t="shared" si="3"/>
        <v>622991</v>
      </c>
      <c r="H15" s="4">
        <f t="shared" si="4"/>
        <v>44499.35714</v>
      </c>
      <c r="I15" s="1">
        <v>1.0</v>
      </c>
      <c r="J15" s="1">
        <v>64.5</v>
      </c>
      <c r="K15" s="5" t="s">
        <v>11</v>
      </c>
    </row>
    <row r="16" ht="15.75" customHeight="1">
      <c r="A16" s="1">
        <v>15.0</v>
      </c>
      <c r="B16" s="3">
        <v>44806.0</v>
      </c>
      <c r="C16" s="1">
        <v>38.0</v>
      </c>
      <c r="D16" s="1">
        <f t="shared" si="1"/>
        <v>507</v>
      </c>
      <c r="E16" s="2">
        <f t="shared" si="2"/>
        <v>33.8</v>
      </c>
      <c r="F16" s="1">
        <v>58222.0</v>
      </c>
      <c r="G16" s="1">
        <f t="shared" si="3"/>
        <v>681213</v>
      </c>
      <c r="H16" s="4">
        <f t="shared" si="4"/>
        <v>45414.2</v>
      </c>
      <c r="I16" s="1">
        <v>1.0</v>
      </c>
      <c r="J16" s="1">
        <v>64.5</v>
      </c>
      <c r="K16" s="5" t="s">
        <v>11</v>
      </c>
    </row>
    <row r="17" ht="15.75" customHeight="1">
      <c r="A17" s="1">
        <v>16.0</v>
      </c>
      <c r="B17" s="3">
        <v>44807.0</v>
      </c>
      <c r="C17" s="1">
        <v>0.0</v>
      </c>
      <c r="D17" s="1">
        <f t="shared" si="1"/>
        <v>507</v>
      </c>
      <c r="E17" s="2">
        <f t="shared" si="2"/>
        <v>31.6875</v>
      </c>
      <c r="F17" s="1">
        <v>0.0</v>
      </c>
      <c r="G17" s="1">
        <f t="shared" si="3"/>
        <v>681213</v>
      </c>
      <c r="H17" s="4">
        <f t="shared" si="4"/>
        <v>42575.8125</v>
      </c>
      <c r="I17" s="1">
        <v>0.0</v>
      </c>
      <c r="J17" s="1">
        <v>64.5</v>
      </c>
      <c r="K17" s="5" t="s">
        <v>11</v>
      </c>
    </row>
    <row r="18" ht="15.75" customHeight="1">
      <c r="A18" s="1">
        <v>17.0</v>
      </c>
      <c r="B18" s="3">
        <v>44808.0</v>
      </c>
      <c r="C18" s="1">
        <v>35.0</v>
      </c>
      <c r="D18" s="1">
        <f t="shared" si="1"/>
        <v>542</v>
      </c>
      <c r="E18" s="2">
        <f t="shared" si="2"/>
        <v>31.88235294</v>
      </c>
      <c r="F18" s="1">
        <v>45434.0</v>
      </c>
      <c r="G18" s="1">
        <f t="shared" si="3"/>
        <v>726647</v>
      </c>
      <c r="H18" s="4">
        <f t="shared" si="4"/>
        <v>42743.94118</v>
      </c>
      <c r="I18" s="1">
        <v>1.0</v>
      </c>
      <c r="J18" s="1">
        <v>64.5</v>
      </c>
      <c r="K18" s="5" t="s">
        <v>11</v>
      </c>
    </row>
    <row r="19" ht="15.75" customHeight="1">
      <c r="A19" s="1">
        <v>18.0</v>
      </c>
      <c r="B19" s="3">
        <v>44809.0</v>
      </c>
      <c r="C19" s="1">
        <v>44.0</v>
      </c>
      <c r="D19" s="1">
        <f t="shared" si="1"/>
        <v>586</v>
      </c>
      <c r="E19" s="2">
        <f t="shared" si="2"/>
        <v>32.55555556</v>
      </c>
      <c r="F19" s="1">
        <v>64868.0</v>
      </c>
      <c r="G19" s="1">
        <f t="shared" si="3"/>
        <v>791515</v>
      </c>
      <c r="H19" s="4">
        <f t="shared" si="4"/>
        <v>43973.05556</v>
      </c>
      <c r="I19" s="1">
        <v>1.0</v>
      </c>
      <c r="J19" s="1">
        <v>64.5</v>
      </c>
      <c r="K19" s="5" t="s">
        <v>11</v>
      </c>
    </row>
    <row r="20" ht="15.75" customHeight="1">
      <c r="A20" s="1">
        <v>19.0</v>
      </c>
      <c r="B20" s="3">
        <v>44810.0</v>
      </c>
      <c r="C20" s="1">
        <v>32.0</v>
      </c>
      <c r="D20" s="1">
        <f t="shared" si="1"/>
        <v>618</v>
      </c>
      <c r="E20" s="2">
        <f t="shared" si="2"/>
        <v>32.52631579</v>
      </c>
      <c r="F20" s="1">
        <v>51249.0</v>
      </c>
      <c r="G20" s="1">
        <f t="shared" si="3"/>
        <v>842764</v>
      </c>
      <c r="H20" s="4">
        <f t="shared" si="4"/>
        <v>44356</v>
      </c>
      <c r="I20" s="1">
        <v>1.0</v>
      </c>
      <c r="J20" s="1">
        <v>64.5</v>
      </c>
      <c r="K20" s="5" t="s">
        <v>11</v>
      </c>
    </row>
    <row r="21" ht="15.75" customHeight="1">
      <c r="A21" s="1">
        <v>20.0</v>
      </c>
      <c r="B21" s="3">
        <v>44811.0</v>
      </c>
      <c r="C21" s="1">
        <v>43.0</v>
      </c>
      <c r="D21" s="1">
        <f t="shared" si="1"/>
        <v>661</v>
      </c>
      <c r="E21" s="2">
        <f t="shared" si="2"/>
        <v>33.05</v>
      </c>
      <c r="F21" s="1">
        <v>56097.0</v>
      </c>
      <c r="G21" s="1">
        <f t="shared" si="3"/>
        <v>898861</v>
      </c>
      <c r="H21" s="4">
        <f t="shared" si="4"/>
        <v>44943.05</v>
      </c>
      <c r="I21" s="1">
        <v>1.0</v>
      </c>
      <c r="J21" s="1">
        <v>64.5</v>
      </c>
      <c r="K21" s="6" t="s">
        <v>12</v>
      </c>
    </row>
    <row r="22" ht="15.75" customHeight="1">
      <c r="A22" s="1">
        <v>21.0</v>
      </c>
      <c r="B22" s="3">
        <v>44812.0</v>
      </c>
      <c r="C22" s="1">
        <v>32.0</v>
      </c>
      <c r="D22" s="1">
        <f t="shared" si="1"/>
        <v>693</v>
      </c>
      <c r="E22" s="2">
        <f t="shared" si="2"/>
        <v>33</v>
      </c>
      <c r="F22" s="1">
        <v>45820.0</v>
      </c>
      <c r="G22" s="1">
        <f t="shared" si="3"/>
        <v>944681</v>
      </c>
      <c r="H22" s="4">
        <f t="shared" si="4"/>
        <v>44984.80952</v>
      </c>
      <c r="I22" s="1">
        <v>1.0</v>
      </c>
      <c r="J22" s="1">
        <v>64.7</v>
      </c>
      <c r="K22" s="6" t="s">
        <v>12</v>
      </c>
    </row>
    <row r="23" ht="15.75" customHeight="1">
      <c r="A23" s="1">
        <v>22.0</v>
      </c>
      <c r="B23" s="3">
        <v>44813.0</v>
      </c>
      <c r="C23" s="1">
        <v>32.0</v>
      </c>
      <c r="D23" s="1">
        <f t="shared" si="1"/>
        <v>725</v>
      </c>
      <c r="E23" s="2">
        <f t="shared" si="2"/>
        <v>32.95454545</v>
      </c>
      <c r="F23" s="1">
        <v>47571.0</v>
      </c>
      <c r="G23" s="1">
        <f t="shared" si="3"/>
        <v>992252</v>
      </c>
      <c r="H23" s="4">
        <f t="shared" si="4"/>
        <v>45102.36364</v>
      </c>
      <c r="I23" s="1">
        <v>1.0</v>
      </c>
      <c r="J23" s="1">
        <v>64.7</v>
      </c>
      <c r="K23" s="6" t="s">
        <v>12</v>
      </c>
    </row>
    <row r="24" ht="15.75" customHeight="1">
      <c r="A24" s="1">
        <v>23.0</v>
      </c>
      <c r="B24" s="3">
        <v>44814.0</v>
      </c>
      <c r="C24" s="1">
        <v>25.0</v>
      </c>
      <c r="D24" s="1">
        <f t="shared" si="1"/>
        <v>750</v>
      </c>
      <c r="E24" s="2">
        <f t="shared" si="2"/>
        <v>32.60869565</v>
      </c>
      <c r="F24" s="1">
        <v>35572.0</v>
      </c>
      <c r="G24" s="1">
        <f t="shared" si="3"/>
        <v>1027824</v>
      </c>
      <c r="H24" s="4">
        <f t="shared" si="4"/>
        <v>44688</v>
      </c>
      <c r="I24" s="1">
        <v>1.0</v>
      </c>
      <c r="J24" s="1">
        <v>64.7</v>
      </c>
      <c r="K24" s="6" t="s">
        <v>12</v>
      </c>
    </row>
    <row r="25" ht="15.75" customHeight="1">
      <c r="A25" s="1">
        <v>24.0</v>
      </c>
      <c r="B25" s="3">
        <v>44815.0</v>
      </c>
      <c r="C25" s="1">
        <v>40.0</v>
      </c>
      <c r="D25" s="1">
        <f t="shared" si="1"/>
        <v>790</v>
      </c>
      <c r="E25" s="2">
        <f t="shared" si="2"/>
        <v>32.91666667</v>
      </c>
      <c r="F25" s="1">
        <v>59419.0</v>
      </c>
      <c r="G25" s="1">
        <f t="shared" si="3"/>
        <v>1087243</v>
      </c>
      <c r="H25" s="4">
        <f t="shared" si="4"/>
        <v>45301.79167</v>
      </c>
      <c r="I25" s="1">
        <v>1.0</v>
      </c>
      <c r="J25" s="1">
        <v>64.1</v>
      </c>
      <c r="K25" s="6" t="s">
        <v>12</v>
      </c>
    </row>
    <row r="26" ht="15.75" customHeight="1">
      <c r="A26" s="1">
        <v>25.0</v>
      </c>
      <c r="B26" s="3">
        <v>44816.0</v>
      </c>
      <c r="C26" s="1">
        <v>27.0</v>
      </c>
      <c r="D26" s="1">
        <f t="shared" si="1"/>
        <v>817</v>
      </c>
      <c r="E26" s="2">
        <f t="shared" si="2"/>
        <v>32.68</v>
      </c>
      <c r="F26" s="1">
        <v>35126.0</v>
      </c>
      <c r="G26" s="1">
        <f t="shared" si="3"/>
        <v>1122369</v>
      </c>
      <c r="H26" s="4">
        <f t="shared" si="4"/>
        <v>44894.76</v>
      </c>
      <c r="I26" s="1">
        <v>1.0</v>
      </c>
      <c r="J26" s="1">
        <v>65.0</v>
      </c>
      <c r="K26" s="6" t="s">
        <v>12</v>
      </c>
    </row>
    <row r="27" ht="15.75" customHeight="1">
      <c r="A27" s="1">
        <v>26.0</v>
      </c>
      <c r="B27" s="3">
        <v>44817.0</v>
      </c>
      <c r="C27" s="1">
        <v>44.0</v>
      </c>
      <c r="D27" s="1">
        <f t="shared" si="1"/>
        <v>861</v>
      </c>
      <c r="E27" s="2">
        <f t="shared" si="2"/>
        <v>33.11538462</v>
      </c>
      <c r="F27" s="1">
        <v>58512.0</v>
      </c>
      <c r="G27" s="1">
        <f t="shared" si="3"/>
        <v>1180881</v>
      </c>
      <c r="H27" s="4">
        <f t="shared" si="4"/>
        <v>45418.5</v>
      </c>
      <c r="I27" s="1">
        <v>1.0</v>
      </c>
      <c r="J27" s="1">
        <v>65.0</v>
      </c>
      <c r="K27" s="6" t="s">
        <v>12</v>
      </c>
    </row>
    <row r="28" ht="15.75" customHeight="1">
      <c r="A28" s="1">
        <v>27.0</v>
      </c>
      <c r="B28" s="3">
        <v>44818.0</v>
      </c>
      <c r="C28" s="1">
        <v>24.0</v>
      </c>
      <c r="D28" s="1">
        <f t="shared" si="1"/>
        <v>885</v>
      </c>
      <c r="E28" s="2">
        <f t="shared" si="2"/>
        <v>32.77777778</v>
      </c>
      <c r="F28" s="1">
        <v>33429.0</v>
      </c>
      <c r="G28" s="1">
        <f t="shared" si="3"/>
        <v>1214310</v>
      </c>
      <c r="H28" s="4">
        <f t="shared" si="4"/>
        <v>44974.44444</v>
      </c>
      <c r="I28" s="1">
        <v>1.0</v>
      </c>
      <c r="J28" s="1">
        <v>64.9</v>
      </c>
      <c r="K28" s="6" t="s">
        <v>12</v>
      </c>
    </row>
    <row r="29" ht="15.75" customHeight="1">
      <c r="A29" s="1">
        <v>28.0</v>
      </c>
      <c r="B29" s="3">
        <v>44819.0</v>
      </c>
      <c r="C29" s="1">
        <v>45.0</v>
      </c>
      <c r="D29" s="1">
        <f t="shared" si="1"/>
        <v>930</v>
      </c>
      <c r="E29" s="2">
        <f t="shared" si="2"/>
        <v>33.21428571</v>
      </c>
      <c r="F29" s="1">
        <v>66935.0</v>
      </c>
      <c r="G29" s="1">
        <f t="shared" si="3"/>
        <v>1281245</v>
      </c>
      <c r="H29" s="4">
        <f t="shared" si="4"/>
        <v>45758.75</v>
      </c>
      <c r="I29" s="1">
        <v>1.0</v>
      </c>
      <c r="J29" s="1">
        <v>64.9</v>
      </c>
      <c r="K29" s="6" t="s">
        <v>12</v>
      </c>
    </row>
    <row r="30" ht="15.75" customHeight="1">
      <c r="A30" s="1">
        <v>29.0</v>
      </c>
      <c r="B30" s="3">
        <v>44820.0</v>
      </c>
      <c r="C30" s="1">
        <v>39.0</v>
      </c>
      <c r="D30" s="1">
        <f t="shared" si="1"/>
        <v>969</v>
      </c>
      <c r="E30" s="2">
        <f t="shared" si="2"/>
        <v>33.4137931</v>
      </c>
      <c r="F30" s="1">
        <v>56786.0</v>
      </c>
      <c r="G30" s="1">
        <f t="shared" si="3"/>
        <v>1338031</v>
      </c>
      <c r="H30" s="4">
        <f t="shared" si="4"/>
        <v>46139</v>
      </c>
      <c r="I30" s="1">
        <v>1.0</v>
      </c>
      <c r="J30" s="1">
        <v>64.9</v>
      </c>
      <c r="K30" s="6" t="s">
        <v>12</v>
      </c>
    </row>
    <row r="31" ht="15.75" customHeight="1">
      <c r="A31" s="1">
        <v>30.0</v>
      </c>
      <c r="B31" s="3">
        <v>44821.0</v>
      </c>
      <c r="C31" s="1">
        <v>33.0</v>
      </c>
      <c r="D31" s="1">
        <f t="shared" si="1"/>
        <v>1002</v>
      </c>
      <c r="E31" s="2">
        <f t="shared" si="2"/>
        <v>33.4</v>
      </c>
      <c r="F31" s="1">
        <v>48814.0</v>
      </c>
      <c r="G31" s="1">
        <f t="shared" si="3"/>
        <v>1386845</v>
      </c>
      <c r="H31" s="4">
        <f t="shared" si="4"/>
        <v>46228.16667</v>
      </c>
      <c r="I31" s="1">
        <v>1.0</v>
      </c>
      <c r="J31" s="1">
        <v>64.9</v>
      </c>
      <c r="K31" s="6" t="s">
        <v>12</v>
      </c>
    </row>
    <row r="32" ht="15.75" customHeight="1">
      <c r="A32" s="1">
        <v>31.0</v>
      </c>
      <c r="B32" s="3">
        <v>44822.0</v>
      </c>
      <c r="C32" s="1">
        <v>26.0</v>
      </c>
      <c r="D32" s="1">
        <f t="shared" si="1"/>
        <v>1028</v>
      </c>
      <c r="E32" s="2">
        <f t="shared" si="2"/>
        <v>33.16129032</v>
      </c>
      <c r="F32" s="1">
        <v>38365.0</v>
      </c>
      <c r="G32" s="1">
        <f t="shared" si="3"/>
        <v>1425210</v>
      </c>
      <c r="H32" s="4">
        <f t="shared" si="4"/>
        <v>45974.51613</v>
      </c>
      <c r="I32" s="1">
        <v>1.0</v>
      </c>
      <c r="J32" s="1">
        <v>64.9</v>
      </c>
      <c r="K32" s="6" t="s">
        <v>12</v>
      </c>
    </row>
    <row r="33" ht="15.75" customHeight="1">
      <c r="A33" s="1">
        <v>32.0</v>
      </c>
      <c r="B33" s="3">
        <v>44823.0</v>
      </c>
      <c r="C33" s="1">
        <v>36.0</v>
      </c>
      <c r="D33" s="1">
        <f t="shared" si="1"/>
        <v>1064</v>
      </c>
      <c r="E33" s="2">
        <f t="shared" si="2"/>
        <v>33.25</v>
      </c>
      <c r="F33" s="1">
        <v>51731.0</v>
      </c>
      <c r="G33" s="1">
        <f t="shared" si="3"/>
        <v>1476941</v>
      </c>
      <c r="H33" s="4">
        <f t="shared" si="4"/>
        <v>46154.40625</v>
      </c>
      <c r="I33" s="1">
        <v>1.0</v>
      </c>
      <c r="J33" s="1">
        <v>64.5</v>
      </c>
      <c r="K33" s="6" t="s">
        <v>12</v>
      </c>
    </row>
    <row r="34" ht="15.75" customHeight="1">
      <c r="A34" s="1">
        <v>33.0</v>
      </c>
      <c r="B34" s="3">
        <v>44824.0</v>
      </c>
      <c r="C34" s="1">
        <v>0.0</v>
      </c>
      <c r="D34" s="1">
        <f t="shared" si="1"/>
        <v>1064</v>
      </c>
      <c r="E34" s="2">
        <f t="shared" si="2"/>
        <v>32.24242424</v>
      </c>
      <c r="F34" s="1">
        <v>0.0</v>
      </c>
      <c r="G34" s="1">
        <f t="shared" si="3"/>
        <v>1476941</v>
      </c>
      <c r="H34" s="4">
        <f t="shared" si="4"/>
        <v>44755.78788</v>
      </c>
      <c r="I34" s="1">
        <v>1.0</v>
      </c>
      <c r="J34" s="1">
        <v>64.5</v>
      </c>
      <c r="K34" s="6" t="s">
        <v>12</v>
      </c>
    </row>
    <row r="35" ht="15.75" customHeight="1">
      <c r="A35" s="1">
        <v>34.0</v>
      </c>
      <c r="B35" s="3">
        <v>44825.0</v>
      </c>
      <c r="C35" s="1">
        <v>48.0</v>
      </c>
      <c r="D35" s="1">
        <f t="shared" si="1"/>
        <v>1112</v>
      </c>
      <c r="E35" s="2">
        <f t="shared" si="2"/>
        <v>32.70588235</v>
      </c>
      <c r="F35" s="1">
        <v>65923.0</v>
      </c>
      <c r="G35" s="1">
        <f t="shared" si="3"/>
        <v>1542864</v>
      </c>
      <c r="H35" s="4">
        <f t="shared" si="4"/>
        <v>45378.35294</v>
      </c>
      <c r="I35" s="1">
        <v>1.0</v>
      </c>
      <c r="J35" s="1">
        <v>64.5</v>
      </c>
      <c r="K35" s="6" t="s">
        <v>12</v>
      </c>
    </row>
    <row r="36" ht="15.75" customHeight="1">
      <c r="A36" s="1">
        <v>35.0</v>
      </c>
      <c r="B36" s="3">
        <v>44826.0</v>
      </c>
      <c r="C36" s="1">
        <v>28.0</v>
      </c>
      <c r="D36" s="1">
        <f t="shared" si="1"/>
        <v>1140</v>
      </c>
      <c r="E36" s="2">
        <f t="shared" si="2"/>
        <v>32.57142857</v>
      </c>
      <c r="F36" s="1">
        <v>44830.0</v>
      </c>
      <c r="G36" s="1">
        <f t="shared" si="3"/>
        <v>1587694</v>
      </c>
      <c r="H36" s="4">
        <f t="shared" si="4"/>
        <v>45362.68571</v>
      </c>
      <c r="I36" s="1">
        <v>1.0</v>
      </c>
      <c r="J36" s="1">
        <v>64.5</v>
      </c>
      <c r="K36" s="6" t="s">
        <v>12</v>
      </c>
    </row>
    <row r="37" ht="15.75" customHeight="1">
      <c r="A37" s="1">
        <v>36.0</v>
      </c>
      <c r="B37" s="3">
        <v>44827.0</v>
      </c>
      <c r="C37" s="1">
        <v>51.0</v>
      </c>
      <c r="D37" s="1">
        <f t="shared" si="1"/>
        <v>1191</v>
      </c>
      <c r="E37" s="2">
        <f t="shared" si="2"/>
        <v>33.08333333</v>
      </c>
      <c r="F37" s="1">
        <v>63763.0</v>
      </c>
      <c r="G37" s="1">
        <f t="shared" si="3"/>
        <v>1651457</v>
      </c>
      <c r="H37" s="4">
        <f t="shared" si="4"/>
        <v>45873.80556</v>
      </c>
      <c r="I37" s="1">
        <v>1.0</v>
      </c>
      <c r="J37" s="1">
        <v>64.5</v>
      </c>
      <c r="K37" s="6" t="s">
        <v>12</v>
      </c>
    </row>
    <row r="38" ht="15.75" customHeight="1">
      <c r="A38" s="1">
        <v>37.0</v>
      </c>
      <c r="B38" s="3">
        <v>44828.0</v>
      </c>
      <c r="C38" s="1">
        <v>29.0</v>
      </c>
      <c r="D38" s="1">
        <f t="shared" si="1"/>
        <v>1220</v>
      </c>
      <c r="E38" s="2">
        <f t="shared" si="2"/>
        <v>32.97297297</v>
      </c>
      <c r="F38" s="1">
        <v>40805.0</v>
      </c>
      <c r="G38" s="1">
        <f t="shared" si="3"/>
        <v>1692262</v>
      </c>
      <c r="H38" s="4">
        <f t="shared" si="4"/>
        <v>45736.81081</v>
      </c>
      <c r="I38" s="1">
        <v>1.0</v>
      </c>
      <c r="J38" s="1">
        <v>64.5</v>
      </c>
      <c r="K38" s="6" t="s">
        <v>12</v>
      </c>
    </row>
    <row r="39" ht="15.75" customHeight="1">
      <c r="A39" s="1">
        <v>38.0</v>
      </c>
      <c r="B39" s="3">
        <v>44829.0</v>
      </c>
      <c r="C39" s="1">
        <v>55.0</v>
      </c>
      <c r="D39" s="1">
        <f t="shared" si="1"/>
        <v>1275</v>
      </c>
      <c r="E39" s="2">
        <f t="shared" si="2"/>
        <v>33.55263158</v>
      </c>
      <c r="F39" s="1">
        <v>75528.0</v>
      </c>
      <c r="G39" s="1">
        <f t="shared" si="3"/>
        <v>1767790</v>
      </c>
      <c r="H39" s="4">
        <f t="shared" si="4"/>
        <v>46520.78947</v>
      </c>
      <c r="I39" s="1">
        <v>1.0</v>
      </c>
      <c r="J39" s="1">
        <v>64.5</v>
      </c>
      <c r="K39" s="6" t="s">
        <v>12</v>
      </c>
    </row>
    <row r="40" ht="15.75" customHeight="1">
      <c r="A40" s="1">
        <v>39.0</v>
      </c>
      <c r="B40" s="3">
        <v>44830.0</v>
      </c>
      <c r="C40" s="1">
        <v>37.0</v>
      </c>
      <c r="D40" s="1">
        <f t="shared" si="1"/>
        <v>1312</v>
      </c>
      <c r="E40" s="2">
        <f t="shared" si="2"/>
        <v>33.64102564</v>
      </c>
      <c r="F40" s="1">
        <v>52154.0</v>
      </c>
      <c r="G40" s="1">
        <f t="shared" si="3"/>
        <v>1819944</v>
      </c>
      <c r="H40" s="4">
        <f t="shared" si="4"/>
        <v>46665.23077</v>
      </c>
      <c r="I40" s="1">
        <v>1.0</v>
      </c>
      <c r="J40" s="1">
        <v>64.5</v>
      </c>
      <c r="K40" s="6" t="s">
        <v>12</v>
      </c>
    </row>
    <row r="41" ht="15.75" customHeight="1">
      <c r="A41" s="1">
        <v>40.0</v>
      </c>
      <c r="B41" s="3">
        <v>44831.0</v>
      </c>
      <c r="C41" s="1">
        <v>42.0</v>
      </c>
      <c r="D41" s="1">
        <f t="shared" si="1"/>
        <v>1354</v>
      </c>
      <c r="E41" s="2">
        <f t="shared" si="2"/>
        <v>33.85</v>
      </c>
      <c r="F41" s="1">
        <v>58962.0</v>
      </c>
      <c r="G41" s="1">
        <f t="shared" si="3"/>
        <v>1878906</v>
      </c>
      <c r="H41" s="4">
        <f t="shared" si="4"/>
        <v>46972.65</v>
      </c>
      <c r="I41" s="1">
        <v>1.0</v>
      </c>
      <c r="J41" s="1">
        <v>64.5</v>
      </c>
      <c r="K41" s="6" t="s">
        <v>12</v>
      </c>
    </row>
    <row r="42" ht="15.75" customHeight="1">
      <c r="A42" s="1">
        <v>41.0</v>
      </c>
      <c r="B42" s="3">
        <v>44832.0</v>
      </c>
      <c r="C42" s="1">
        <v>36.0</v>
      </c>
      <c r="D42" s="1">
        <f t="shared" si="1"/>
        <v>1390</v>
      </c>
      <c r="E42" s="2">
        <f t="shared" si="2"/>
        <v>33.90243902</v>
      </c>
      <c r="F42" s="1">
        <v>51762.0</v>
      </c>
      <c r="G42" s="1">
        <f t="shared" si="3"/>
        <v>1930668</v>
      </c>
      <c r="H42" s="4">
        <f t="shared" si="4"/>
        <v>47089.46341</v>
      </c>
      <c r="I42" s="1">
        <v>1.0</v>
      </c>
      <c r="J42" s="1">
        <v>64.5</v>
      </c>
      <c r="K42" s="6" t="s">
        <v>12</v>
      </c>
    </row>
    <row r="43" ht="15.75" customHeight="1">
      <c r="A43" s="1">
        <v>42.0</v>
      </c>
      <c r="B43" s="3">
        <v>44833.0</v>
      </c>
      <c r="C43" s="1">
        <v>43.0</v>
      </c>
      <c r="D43" s="1">
        <f t="shared" si="1"/>
        <v>1433</v>
      </c>
      <c r="E43" s="2">
        <f t="shared" si="2"/>
        <v>34.11904762</v>
      </c>
      <c r="F43" s="1">
        <v>61287.0</v>
      </c>
      <c r="G43" s="1">
        <f t="shared" si="3"/>
        <v>1991955</v>
      </c>
      <c r="H43" s="4">
        <f t="shared" si="4"/>
        <v>47427.5</v>
      </c>
      <c r="I43" s="1">
        <v>1.0</v>
      </c>
      <c r="J43" s="1">
        <v>64.5</v>
      </c>
      <c r="K43" s="6" t="s">
        <v>12</v>
      </c>
    </row>
    <row r="44" ht="15.75" customHeight="1">
      <c r="A44" s="1">
        <v>43.0</v>
      </c>
      <c r="B44" s="3">
        <v>44834.0</v>
      </c>
      <c r="C44" s="1">
        <v>37.0</v>
      </c>
      <c r="D44" s="1">
        <f t="shared" si="1"/>
        <v>1470</v>
      </c>
      <c r="E44" s="2">
        <f t="shared" si="2"/>
        <v>34.18604651</v>
      </c>
      <c r="F44" s="1">
        <v>53695.0</v>
      </c>
      <c r="G44" s="1">
        <f t="shared" si="3"/>
        <v>2045650</v>
      </c>
      <c r="H44" s="4">
        <f t="shared" si="4"/>
        <v>47573.25581</v>
      </c>
      <c r="I44" s="1">
        <v>1.0</v>
      </c>
      <c r="J44" s="1">
        <v>64.5</v>
      </c>
      <c r="K44" s="6" t="s">
        <v>12</v>
      </c>
    </row>
    <row r="45" ht="15.75" customHeight="1">
      <c r="A45" s="1">
        <v>44.0</v>
      </c>
      <c r="B45" s="3">
        <v>44835.0</v>
      </c>
      <c r="C45" s="1">
        <v>12.0</v>
      </c>
      <c r="D45" s="1">
        <f t="shared" si="1"/>
        <v>1482</v>
      </c>
      <c r="E45" s="2">
        <f t="shared" si="2"/>
        <v>33.68181818</v>
      </c>
      <c r="F45" s="1">
        <v>20863.0</v>
      </c>
      <c r="G45" s="1">
        <f t="shared" si="3"/>
        <v>2066513</v>
      </c>
      <c r="H45" s="4">
        <f t="shared" si="4"/>
        <v>46966.20455</v>
      </c>
      <c r="I45" s="1">
        <v>1.0</v>
      </c>
      <c r="J45" s="1">
        <v>64.5</v>
      </c>
      <c r="K45" s="6" t="s">
        <v>12</v>
      </c>
    </row>
    <row r="46" ht="15.75" customHeight="1">
      <c r="A46" s="1">
        <v>45.0</v>
      </c>
      <c r="B46" s="3">
        <v>44836.0</v>
      </c>
      <c r="C46" s="1">
        <v>26.0</v>
      </c>
      <c r="D46" s="1">
        <f t="shared" si="1"/>
        <v>1508</v>
      </c>
      <c r="E46" s="2">
        <f t="shared" si="2"/>
        <v>33.51111111</v>
      </c>
      <c r="F46" s="1">
        <v>34722.0</v>
      </c>
      <c r="G46" s="1">
        <f t="shared" si="3"/>
        <v>2101235</v>
      </c>
      <c r="H46" s="4">
        <f t="shared" si="4"/>
        <v>46694.11111</v>
      </c>
      <c r="I46" s="1">
        <v>1.0</v>
      </c>
      <c r="J46" s="1">
        <v>64.5</v>
      </c>
      <c r="K46" s="6" t="s">
        <v>12</v>
      </c>
    </row>
    <row r="47" ht="15.75" customHeight="1">
      <c r="A47" s="1">
        <v>46.0</v>
      </c>
      <c r="B47" s="3">
        <v>44837.0</v>
      </c>
      <c r="C47" s="1">
        <v>42.0</v>
      </c>
      <c r="D47" s="1">
        <f t="shared" si="1"/>
        <v>1550</v>
      </c>
      <c r="E47" s="2">
        <f t="shared" si="2"/>
        <v>33.69565217</v>
      </c>
      <c r="F47" s="1">
        <v>60887.0</v>
      </c>
      <c r="G47" s="1">
        <f t="shared" si="3"/>
        <v>2162122</v>
      </c>
      <c r="H47" s="4">
        <f t="shared" si="4"/>
        <v>47002.65217</v>
      </c>
      <c r="I47" s="1">
        <v>1.0</v>
      </c>
      <c r="J47" s="1">
        <v>64.5</v>
      </c>
      <c r="K47" s="6" t="s">
        <v>12</v>
      </c>
    </row>
    <row r="48" ht="15.75" customHeight="1">
      <c r="A48" s="1">
        <v>47.0</v>
      </c>
      <c r="B48" s="3">
        <v>44838.0</v>
      </c>
      <c r="C48" s="1">
        <v>41.0</v>
      </c>
      <c r="D48" s="1">
        <f t="shared" si="1"/>
        <v>1591</v>
      </c>
      <c r="E48" s="2">
        <f t="shared" si="2"/>
        <v>33.85106383</v>
      </c>
      <c r="F48" s="1">
        <v>56836.0</v>
      </c>
      <c r="G48" s="1">
        <f t="shared" si="3"/>
        <v>2218958</v>
      </c>
      <c r="H48" s="4">
        <f t="shared" si="4"/>
        <v>47211.87234</v>
      </c>
      <c r="I48" s="1">
        <v>1.0</v>
      </c>
      <c r="J48" s="1">
        <v>64.5</v>
      </c>
      <c r="K48" s="6" t="s">
        <v>12</v>
      </c>
    </row>
    <row r="49" ht="15.75" customHeight="1">
      <c r="A49" s="1">
        <v>48.0</v>
      </c>
      <c r="B49" s="3">
        <v>44839.0</v>
      </c>
      <c r="C49" s="1">
        <v>31.0</v>
      </c>
      <c r="D49" s="1">
        <f t="shared" si="1"/>
        <v>1622</v>
      </c>
      <c r="E49" s="2">
        <f t="shared" si="2"/>
        <v>33.79166667</v>
      </c>
      <c r="F49" s="1">
        <v>49558.0</v>
      </c>
      <c r="G49" s="1">
        <f t="shared" si="3"/>
        <v>2268516</v>
      </c>
      <c r="H49" s="4">
        <f t="shared" si="4"/>
        <v>47260.75</v>
      </c>
      <c r="I49" s="1">
        <v>1.0</v>
      </c>
      <c r="J49" s="1">
        <v>64.5</v>
      </c>
      <c r="K49" s="6" t="s">
        <v>12</v>
      </c>
    </row>
    <row r="50" ht="15.75" customHeight="1">
      <c r="A50" s="1">
        <v>49.0</v>
      </c>
      <c r="B50" s="3">
        <v>44840.0</v>
      </c>
      <c r="C50" s="1">
        <v>38.0</v>
      </c>
      <c r="D50" s="1">
        <f t="shared" si="1"/>
        <v>1660</v>
      </c>
      <c r="E50" s="2">
        <f t="shared" si="2"/>
        <v>33.87755102</v>
      </c>
      <c r="F50" s="1">
        <v>55464.0</v>
      </c>
      <c r="G50" s="1">
        <f t="shared" si="3"/>
        <v>2323980</v>
      </c>
      <c r="H50" s="4">
        <f t="shared" si="4"/>
        <v>47428.16327</v>
      </c>
      <c r="I50" s="1">
        <v>1.0</v>
      </c>
      <c r="J50" s="1">
        <v>65.2</v>
      </c>
      <c r="K50" s="6" t="s">
        <v>12</v>
      </c>
    </row>
    <row r="51" ht="15.75" customHeight="1">
      <c r="A51" s="1">
        <v>50.0</v>
      </c>
      <c r="B51" s="3">
        <v>44841.0</v>
      </c>
      <c r="C51" s="1">
        <v>52.0</v>
      </c>
      <c r="D51" s="1">
        <f t="shared" si="1"/>
        <v>1712</v>
      </c>
      <c r="E51" s="2">
        <f t="shared" si="2"/>
        <v>34.24</v>
      </c>
      <c r="F51" s="1">
        <v>65852.0</v>
      </c>
      <c r="G51" s="1">
        <f t="shared" si="3"/>
        <v>2389832</v>
      </c>
      <c r="H51" s="4">
        <f t="shared" si="4"/>
        <v>47796.64</v>
      </c>
      <c r="I51" s="1">
        <v>1.0</v>
      </c>
      <c r="J51" s="1">
        <v>64.6</v>
      </c>
      <c r="K51" s="6" t="s">
        <v>12</v>
      </c>
    </row>
    <row r="52" ht="15.75" customHeight="1">
      <c r="A52" s="1">
        <v>51.0</v>
      </c>
      <c r="B52" s="3">
        <v>44842.0</v>
      </c>
      <c r="C52" s="1">
        <v>49.0</v>
      </c>
      <c r="D52" s="1">
        <f t="shared" si="1"/>
        <v>1761</v>
      </c>
      <c r="E52" s="2">
        <f t="shared" si="2"/>
        <v>34.52941176</v>
      </c>
      <c r="F52" s="1">
        <v>67006.0</v>
      </c>
      <c r="G52" s="1">
        <f t="shared" si="3"/>
        <v>2456838</v>
      </c>
      <c r="H52" s="4">
        <f t="shared" si="4"/>
        <v>48173.29412</v>
      </c>
      <c r="I52" s="1">
        <v>1.0</v>
      </c>
      <c r="J52" s="1">
        <v>64.6</v>
      </c>
      <c r="K52" s="6" t="s">
        <v>12</v>
      </c>
    </row>
    <row r="53" ht="15.75" customHeight="1">
      <c r="A53" s="1">
        <v>52.0</v>
      </c>
      <c r="B53" s="3">
        <v>44843.0</v>
      </c>
      <c r="C53" s="1">
        <v>33.0</v>
      </c>
      <c r="D53" s="1">
        <f t="shared" si="1"/>
        <v>1794</v>
      </c>
      <c r="E53" s="2">
        <f t="shared" si="2"/>
        <v>34.5</v>
      </c>
      <c r="F53" s="1">
        <v>44557.0</v>
      </c>
      <c r="G53" s="1">
        <f t="shared" si="3"/>
        <v>2501395</v>
      </c>
      <c r="H53" s="4">
        <f t="shared" si="4"/>
        <v>48103.75</v>
      </c>
      <c r="I53" s="1">
        <v>1.0</v>
      </c>
      <c r="J53" s="1">
        <v>63.7</v>
      </c>
      <c r="K53" s="6" t="s">
        <v>12</v>
      </c>
    </row>
    <row r="54" ht="15.75" customHeight="1">
      <c r="A54" s="1">
        <v>53.0</v>
      </c>
      <c r="B54" s="3">
        <v>44844.0</v>
      </c>
      <c r="C54" s="1">
        <v>19.0</v>
      </c>
      <c r="D54" s="1">
        <f t="shared" si="1"/>
        <v>1813</v>
      </c>
      <c r="E54" s="2">
        <f t="shared" si="2"/>
        <v>34.20754717</v>
      </c>
      <c r="F54" s="1">
        <v>31387.0</v>
      </c>
      <c r="G54" s="1">
        <f t="shared" si="3"/>
        <v>2532782</v>
      </c>
      <c r="H54" s="4">
        <f t="shared" si="4"/>
        <v>47788.33962</v>
      </c>
      <c r="I54" s="1">
        <v>0.0</v>
      </c>
      <c r="J54" s="1">
        <v>63.7</v>
      </c>
      <c r="K54" s="6" t="s">
        <v>12</v>
      </c>
    </row>
    <row r="55" ht="15.75" customHeight="1">
      <c r="A55" s="1">
        <v>54.0</v>
      </c>
      <c r="B55" s="3">
        <v>44845.0</v>
      </c>
      <c r="C55" s="1">
        <v>36.0</v>
      </c>
      <c r="D55" s="1">
        <f t="shared" si="1"/>
        <v>1849</v>
      </c>
      <c r="E55" s="2">
        <f t="shared" si="2"/>
        <v>34.24074074</v>
      </c>
      <c r="F55" s="1">
        <v>52323.0</v>
      </c>
      <c r="G55" s="1">
        <f t="shared" si="3"/>
        <v>2585105</v>
      </c>
      <c r="H55" s="4">
        <f t="shared" si="4"/>
        <v>47872.31481</v>
      </c>
      <c r="I55" s="1">
        <v>1.0</v>
      </c>
      <c r="J55" s="1">
        <v>63.7</v>
      </c>
      <c r="K55" s="6" t="s">
        <v>12</v>
      </c>
    </row>
    <row r="56" ht="15.75" customHeight="1">
      <c r="A56" s="1">
        <v>55.0</v>
      </c>
      <c r="B56" s="3">
        <v>44846.0</v>
      </c>
      <c r="C56" s="1">
        <v>41.0</v>
      </c>
      <c r="D56" s="1">
        <f t="shared" si="1"/>
        <v>1890</v>
      </c>
      <c r="E56" s="2">
        <f t="shared" si="2"/>
        <v>34.36363636</v>
      </c>
      <c r="F56" s="1">
        <v>58155.0</v>
      </c>
      <c r="G56" s="1">
        <f t="shared" si="3"/>
        <v>2643260</v>
      </c>
      <c r="H56" s="4">
        <f t="shared" si="4"/>
        <v>48059.27273</v>
      </c>
      <c r="I56" s="1">
        <v>1.0</v>
      </c>
      <c r="J56" s="1">
        <v>63.7</v>
      </c>
      <c r="K56" s="6" t="s">
        <v>12</v>
      </c>
    </row>
    <row r="57" ht="15.75" customHeight="1">
      <c r="A57" s="1">
        <v>56.0</v>
      </c>
      <c r="B57" s="3">
        <v>44847.0</v>
      </c>
      <c r="C57" s="1">
        <v>30.0</v>
      </c>
      <c r="D57" s="1">
        <f t="shared" si="1"/>
        <v>1920</v>
      </c>
      <c r="E57" s="2">
        <f t="shared" si="2"/>
        <v>34.28571429</v>
      </c>
      <c r="F57" s="1">
        <v>43993.0</v>
      </c>
      <c r="G57" s="1">
        <f t="shared" si="3"/>
        <v>2687253</v>
      </c>
      <c r="H57" s="4">
        <f t="shared" si="4"/>
        <v>47986.66071</v>
      </c>
      <c r="I57" s="1">
        <v>1.0</v>
      </c>
      <c r="J57" s="1">
        <v>63.7</v>
      </c>
      <c r="K57" s="6" t="s">
        <v>12</v>
      </c>
    </row>
    <row r="58" ht="15.75" customHeight="1">
      <c r="A58" s="1">
        <v>57.0</v>
      </c>
      <c r="B58" s="3">
        <v>44848.0</v>
      </c>
      <c r="C58" s="1">
        <v>30.0</v>
      </c>
      <c r="D58" s="1">
        <f t="shared" si="1"/>
        <v>1950</v>
      </c>
      <c r="E58" s="2">
        <f t="shared" si="2"/>
        <v>34.21052632</v>
      </c>
      <c r="F58" s="1">
        <v>40844.0</v>
      </c>
      <c r="G58" s="1">
        <f t="shared" si="3"/>
        <v>2728097</v>
      </c>
      <c r="H58" s="4">
        <f t="shared" si="4"/>
        <v>47861.35088</v>
      </c>
      <c r="I58" s="1">
        <v>1.0</v>
      </c>
      <c r="J58" s="1">
        <v>63.7</v>
      </c>
      <c r="K58" s="6" t="s">
        <v>12</v>
      </c>
    </row>
    <row r="59" ht="15.75" customHeight="1">
      <c r="A59" s="1">
        <v>58.0</v>
      </c>
      <c r="B59" s="3">
        <v>44849.0</v>
      </c>
      <c r="C59" s="1">
        <v>41.0</v>
      </c>
      <c r="D59" s="1">
        <f t="shared" si="1"/>
        <v>1991</v>
      </c>
      <c r="E59" s="2">
        <f t="shared" si="2"/>
        <v>34.32758621</v>
      </c>
      <c r="F59" s="1">
        <v>54228.0</v>
      </c>
      <c r="G59" s="1">
        <f t="shared" si="3"/>
        <v>2782325</v>
      </c>
      <c r="H59" s="4">
        <f t="shared" si="4"/>
        <v>47971.12069</v>
      </c>
      <c r="I59" s="1">
        <v>1.0</v>
      </c>
      <c r="J59" s="1">
        <v>63.7</v>
      </c>
      <c r="K59" s="7" t="s">
        <v>13</v>
      </c>
    </row>
    <row r="60" ht="15.75" customHeight="1">
      <c r="A60" s="1">
        <v>59.0</v>
      </c>
      <c r="B60" s="3">
        <v>44850.0</v>
      </c>
      <c r="C60" s="1">
        <v>37.0</v>
      </c>
      <c r="D60" s="1">
        <f t="shared" si="1"/>
        <v>2028</v>
      </c>
      <c r="E60" s="2">
        <f t="shared" si="2"/>
        <v>34.37288136</v>
      </c>
      <c r="F60" s="1">
        <v>49713.0</v>
      </c>
      <c r="G60" s="1">
        <f t="shared" si="3"/>
        <v>2832038</v>
      </c>
      <c r="H60" s="4">
        <f t="shared" si="4"/>
        <v>48000.64407</v>
      </c>
      <c r="I60" s="1">
        <v>1.0</v>
      </c>
      <c r="J60" s="1">
        <v>63.7</v>
      </c>
      <c r="K60" s="7" t="s">
        <v>13</v>
      </c>
    </row>
    <row r="61" ht="15.75" customHeight="1">
      <c r="A61" s="1">
        <v>60.0</v>
      </c>
      <c r="B61" s="3">
        <v>44851.0</v>
      </c>
      <c r="C61" s="1">
        <v>35.0</v>
      </c>
      <c r="D61" s="1">
        <f t="shared" si="1"/>
        <v>2063</v>
      </c>
      <c r="E61" s="2">
        <f t="shared" si="2"/>
        <v>34.38333333</v>
      </c>
      <c r="F61" s="1">
        <v>47696.0</v>
      </c>
      <c r="G61" s="1">
        <f t="shared" si="3"/>
        <v>2879734</v>
      </c>
      <c r="H61" s="4">
        <f t="shared" si="4"/>
        <v>47995.56667</v>
      </c>
      <c r="I61" s="1">
        <v>1.0</v>
      </c>
      <c r="J61" s="1">
        <v>63.7</v>
      </c>
      <c r="K61" s="7" t="s">
        <v>13</v>
      </c>
    </row>
    <row r="62" ht="15.75" customHeight="1">
      <c r="A62" s="1">
        <v>61.0</v>
      </c>
      <c r="B62" s="3">
        <v>44852.0</v>
      </c>
      <c r="C62" s="1">
        <v>36.0</v>
      </c>
      <c r="D62" s="1">
        <f t="shared" si="1"/>
        <v>2099</v>
      </c>
      <c r="E62" s="2">
        <f t="shared" si="2"/>
        <v>34.40983607</v>
      </c>
      <c r="F62" s="1">
        <v>48033.0</v>
      </c>
      <c r="G62" s="1">
        <f t="shared" si="3"/>
        <v>2927767</v>
      </c>
      <c r="H62" s="4">
        <f t="shared" si="4"/>
        <v>47996.18033</v>
      </c>
      <c r="I62" s="1">
        <v>0.0</v>
      </c>
      <c r="J62" s="1">
        <v>63.7</v>
      </c>
      <c r="K62" s="7" t="s">
        <v>13</v>
      </c>
    </row>
    <row r="63" ht="15.75" customHeight="1">
      <c r="A63" s="1">
        <v>62.0</v>
      </c>
      <c r="B63" s="3">
        <v>44853.0</v>
      </c>
      <c r="C63" s="1">
        <v>19.0</v>
      </c>
      <c r="D63" s="1">
        <f t="shared" si="1"/>
        <v>2118</v>
      </c>
      <c r="E63" s="2">
        <f t="shared" si="2"/>
        <v>34.16129032</v>
      </c>
      <c r="F63" s="1">
        <v>24835.0</v>
      </c>
      <c r="G63" s="1">
        <f t="shared" si="3"/>
        <v>2952602</v>
      </c>
      <c r="H63" s="4">
        <f t="shared" si="4"/>
        <v>47622.6129</v>
      </c>
      <c r="I63" s="1">
        <v>1.0</v>
      </c>
      <c r="J63" s="1">
        <v>63.7</v>
      </c>
      <c r="K63" s="7" t="s">
        <v>13</v>
      </c>
    </row>
    <row r="64" ht="15.75" customHeight="1">
      <c r="A64" s="1">
        <v>63.0</v>
      </c>
      <c r="B64" s="3">
        <v>44854.0</v>
      </c>
      <c r="C64" s="1">
        <v>40.0</v>
      </c>
      <c r="D64" s="1">
        <f t="shared" si="1"/>
        <v>2158</v>
      </c>
      <c r="E64" s="2">
        <f t="shared" si="2"/>
        <v>34.25396825</v>
      </c>
      <c r="F64" s="1">
        <v>53086.0</v>
      </c>
      <c r="G64" s="1">
        <f t="shared" si="3"/>
        <v>3005688</v>
      </c>
      <c r="H64" s="4">
        <f t="shared" si="4"/>
        <v>47709.33333</v>
      </c>
      <c r="I64" s="1">
        <v>1.0</v>
      </c>
      <c r="J64" s="1">
        <v>63.7</v>
      </c>
      <c r="K64" s="7" t="s">
        <v>13</v>
      </c>
    </row>
    <row r="65" ht="15.75" customHeight="1">
      <c r="A65" s="1">
        <v>64.0</v>
      </c>
      <c r="B65" s="3">
        <v>44855.0</v>
      </c>
      <c r="C65" s="1">
        <v>33.0</v>
      </c>
      <c r="D65" s="1">
        <f t="shared" si="1"/>
        <v>2191</v>
      </c>
      <c r="E65" s="2">
        <f t="shared" si="2"/>
        <v>34.234375</v>
      </c>
      <c r="F65" s="1">
        <v>47848.0</v>
      </c>
      <c r="G65" s="1">
        <f t="shared" si="3"/>
        <v>3053536</v>
      </c>
      <c r="H65" s="4">
        <f t="shared" si="4"/>
        <v>47711.5</v>
      </c>
      <c r="I65" s="1">
        <v>1.0</v>
      </c>
      <c r="J65" s="1">
        <v>65.5</v>
      </c>
      <c r="K65" s="7" t="s">
        <v>13</v>
      </c>
    </row>
    <row r="66" ht="15.75" customHeight="1">
      <c r="A66" s="1">
        <v>65.0</v>
      </c>
      <c r="B66" s="3">
        <v>44856.0</v>
      </c>
      <c r="C66" s="1">
        <v>50.0</v>
      </c>
      <c r="D66" s="1">
        <f t="shared" si="1"/>
        <v>2241</v>
      </c>
      <c r="E66" s="2">
        <f t="shared" si="2"/>
        <v>34.47692308</v>
      </c>
      <c r="F66" s="1">
        <v>68664.0</v>
      </c>
      <c r="G66" s="1">
        <f t="shared" si="3"/>
        <v>3122200</v>
      </c>
      <c r="H66" s="4">
        <f t="shared" si="4"/>
        <v>48033.84615</v>
      </c>
      <c r="I66" s="1">
        <v>1.0</v>
      </c>
      <c r="J66" s="1">
        <v>65.5</v>
      </c>
      <c r="K66" s="7" t="s">
        <v>13</v>
      </c>
    </row>
    <row r="67" ht="15.75" customHeight="1">
      <c r="A67" s="1">
        <v>66.0</v>
      </c>
      <c r="B67" s="3">
        <v>44857.0</v>
      </c>
      <c r="C67" s="1">
        <v>37.0</v>
      </c>
      <c r="D67" s="1">
        <f t="shared" si="1"/>
        <v>2278</v>
      </c>
      <c r="E67" s="2">
        <f t="shared" si="2"/>
        <v>34.51515152</v>
      </c>
      <c r="F67" s="1">
        <v>45105.0</v>
      </c>
      <c r="G67" s="1">
        <f t="shared" si="3"/>
        <v>3167305</v>
      </c>
      <c r="H67" s="4">
        <f t="shared" si="4"/>
        <v>47989.4697</v>
      </c>
      <c r="I67" s="1">
        <v>0.0</v>
      </c>
      <c r="J67" s="1">
        <v>65.5</v>
      </c>
      <c r="K67" s="7" t="s">
        <v>13</v>
      </c>
    </row>
    <row r="68" ht="15.75" customHeight="1">
      <c r="A68" s="1">
        <v>67.0</v>
      </c>
      <c r="B68" s="3">
        <v>44858.0</v>
      </c>
      <c r="C68" s="1">
        <v>31.0</v>
      </c>
      <c r="D68" s="1">
        <f t="shared" si="1"/>
        <v>2309</v>
      </c>
      <c r="E68" s="2">
        <f t="shared" si="2"/>
        <v>34.46268657</v>
      </c>
      <c r="F68" s="1">
        <v>42001.0</v>
      </c>
      <c r="G68" s="1">
        <f t="shared" si="3"/>
        <v>3209306</v>
      </c>
      <c r="H68" s="4">
        <f t="shared" si="4"/>
        <v>47900.08955</v>
      </c>
      <c r="I68" s="1">
        <v>1.0</v>
      </c>
      <c r="J68" s="1">
        <v>65.5</v>
      </c>
      <c r="K68" s="8" t="s">
        <v>14</v>
      </c>
    </row>
    <row r="69" ht="15.75" customHeight="1">
      <c r="A69" s="1">
        <v>68.0</v>
      </c>
      <c r="B69" s="3">
        <v>44859.0</v>
      </c>
      <c r="C69" s="1">
        <v>43.0</v>
      </c>
      <c r="D69" s="1">
        <f t="shared" si="1"/>
        <v>2352</v>
      </c>
      <c r="E69" s="2">
        <f t="shared" si="2"/>
        <v>34.58823529</v>
      </c>
      <c r="F69" s="1">
        <v>58577.0</v>
      </c>
      <c r="G69" s="1">
        <f t="shared" si="3"/>
        <v>3267883</v>
      </c>
      <c r="H69" s="4">
        <f t="shared" si="4"/>
        <v>48057.10294</v>
      </c>
      <c r="I69" s="1">
        <v>0.0</v>
      </c>
      <c r="J69" s="1">
        <v>65.5</v>
      </c>
      <c r="K69" s="8" t="s">
        <v>14</v>
      </c>
    </row>
    <row r="70" ht="15.75" customHeight="1">
      <c r="A70" s="1">
        <v>69.0</v>
      </c>
      <c r="B70" s="3">
        <v>44860.0</v>
      </c>
      <c r="C70" s="1">
        <v>21.0</v>
      </c>
      <c r="D70" s="1">
        <f t="shared" si="1"/>
        <v>2373</v>
      </c>
      <c r="E70" s="2">
        <f t="shared" si="2"/>
        <v>34.39130435</v>
      </c>
      <c r="F70" s="1">
        <v>31986.0</v>
      </c>
      <c r="G70" s="1">
        <f t="shared" si="3"/>
        <v>3299869</v>
      </c>
      <c r="H70" s="4">
        <f t="shared" si="4"/>
        <v>47824.18841</v>
      </c>
      <c r="I70" s="1">
        <v>0.0</v>
      </c>
      <c r="J70" s="1">
        <v>65.5</v>
      </c>
      <c r="K70" s="8" t="s">
        <v>14</v>
      </c>
    </row>
    <row r="71" ht="15.75" customHeight="1">
      <c r="A71" s="1">
        <v>70.0</v>
      </c>
      <c r="B71" s="3">
        <v>44861.0</v>
      </c>
      <c r="C71" s="1">
        <v>39.0</v>
      </c>
      <c r="D71" s="1">
        <f t="shared" si="1"/>
        <v>2412</v>
      </c>
      <c r="E71" s="2">
        <f t="shared" si="2"/>
        <v>34.45714286</v>
      </c>
      <c r="F71" s="1">
        <v>51990.0</v>
      </c>
      <c r="G71" s="1">
        <f t="shared" si="3"/>
        <v>3351859</v>
      </c>
      <c r="H71" s="4">
        <f t="shared" si="4"/>
        <v>47883.7</v>
      </c>
      <c r="I71" s="1">
        <v>1.0</v>
      </c>
      <c r="J71" s="1">
        <v>65.5</v>
      </c>
      <c r="K71" s="8" t="s">
        <v>14</v>
      </c>
    </row>
    <row r="72" ht="15.75" customHeight="1">
      <c r="A72" s="1">
        <v>71.0</v>
      </c>
      <c r="B72" s="3">
        <v>44862.0</v>
      </c>
      <c r="C72" s="1">
        <v>44.0</v>
      </c>
      <c r="D72" s="1">
        <f t="shared" si="1"/>
        <v>2456</v>
      </c>
      <c r="E72" s="2">
        <f t="shared" si="2"/>
        <v>34.5915493</v>
      </c>
      <c r="F72" s="1">
        <v>62005.0</v>
      </c>
      <c r="G72" s="1">
        <f t="shared" si="3"/>
        <v>3413864</v>
      </c>
      <c r="H72" s="4">
        <f t="shared" si="4"/>
        <v>48082.59155</v>
      </c>
      <c r="I72" s="1">
        <v>1.0</v>
      </c>
      <c r="J72" s="1">
        <v>65.5</v>
      </c>
      <c r="K72" s="8" t="s">
        <v>14</v>
      </c>
    </row>
    <row r="73" ht="15.75" customHeight="1">
      <c r="A73" s="1">
        <v>72.0</v>
      </c>
      <c r="B73" s="3">
        <v>44863.0</v>
      </c>
      <c r="C73" s="1">
        <v>0.0</v>
      </c>
      <c r="D73" s="1">
        <f t="shared" si="1"/>
        <v>2456</v>
      </c>
      <c r="E73" s="2">
        <f t="shared" si="2"/>
        <v>34.11111111</v>
      </c>
      <c r="F73" s="1">
        <v>0.0</v>
      </c>
      <c r="G73" s="1">
        <f t="shared" si="3"/>
        <v>3413864</v>
      </c>
      <c r="H73" s="4">
        <f t="shared" si="4"/>
        <v>47414.77778</v>
      </c>
      <c r="I73" s="1">
        <v>1.0</v>
      </c>
      <c r="J73" s="1">
        <v>65.5</v>
      </c>
      <c r="K73" s="8" t="s">
        <v>14</v>
      </c>
    </row>
    <row r="74" ht="15.75" customHeight="1">
      <c r="A74" s="1">
        <v>73.0</v>
      </c>
      <c r="B74" s="3">
        <v>44864.0</v>
      </c>
      <c r="C74" s="1">
        <v>36.0</v>
      </c>
      <c r="D74" s="1">
        <f t="shared" si="1"/>
        <v>2492</v>
      </c>
      <c r="E74" s="2">
        <f t="shared" si="2"/>
        <v>34.1369863</v>
      </c>
      <c r="F74" s="1">
        <v>45325.0</v>
      </c>
      <c r="G74" s="1">
        <f t="shared" si="3"/>
        <v>3459189</v>
      </c>
      <c r="H74" s="4">
        <f t="shared" si="4"/>
        <v>47386.15068</v>
      </c>
      <c r="I74" s="1">
        <v>0.0</v>
      </c>
      <c r="J74" s="1">
        <v>65.5</v>
      </c>
      <c r="K74" s="8" t="s">
        <v>14</v>
      </c>
    </row>
    <row r="75" ht="15.75" customHeight="1">
      <c r="A75" s="1">
        <v>74.0</v>
      </c>
      <c r="B75" s="3">
        <v>44865.0</v>
      </c>
      <c r="C75" s="1">
        <v>33.0</v>
      </c>
      <c r="D75" s="1">
        <f t="shared" si="1"/>
        <v>2525</v>
      </c>
      <c r="E75" s="2">
        <f t="shared" si="2"/>
        <v>34.12162162</v>
      </c>
      <c r="F75" s="1">
        <v>44051.0</v>
      </c>
      <c r="G75" s="1">
        <f t="shared" si="3"/>
        <v>3503240</v>
      </c>
      <c r="H75" s="4">
        <f t="shared" si="4"/>
        <v>47341.08108</v>
      </c>
      <c r="I75" s="1">
        <v>1.0</v>
      </c>
      <c r="J75" s="1">
        <v>65.5</v>
      </c>
      <c r="K75" s="8" t="s">
        <v>14</v>
      </c>
    </row>
    <row r="76" ht="15.75" customHeight="1">
      <c r="A76" s="1">
        <v>75.0</v>
      </c>
      <c r="B76" s="3">
        <v>44866.0</v>
      </c>
      <c r="C76" s="1">
        <v>51.0</v>
      </c>
      <c r="D76" s="1">
        <f t="shared" si="1"/>
        <v>2576</v>
      </c>
      <c r="E76" s="2">
        <f t="shared" si="2"/>
        <v>34.34666667</v>
      </c>
      <c r="F76" s="1">
        <v>67263.0</v>
      </c>
      <c r="G76" s="1">
        <f t="shared" si="3"/>
        <v>3570503</v>
      </c>
      <c r="H76" s="4">
        <f t="shared" si="4"/>
        <v>47606.70667</v>
      </c>
      <c r="I76" s="1">
        <v>1.0</v>
      </c>
      <c r="J76" s="1">
        <v>65.5</v>
      </c>
      <c r="K76" s="8" t="s">
        <v>14</v>
      </c>
    </row>
    <row r="77" ht="15.75" customHeight="1">
      <c r="A77" s="1">
        <v>76.0</v>
      </c>
      <c r="B77" s="3">
        <v>44867.0</v>
      </c>
      <c r="C77" s="1">
        <v>31.0</v>
      </c>
      <c r="D77" s="1">
        <f t="shared" si="1"/>
        <v>2607</v>
      </c>
      <c r="E77" s="2">
        <f t="shared" si="2"/>
        <v>34.30263158</v>
      </c>
      <c r="F77" s="1">
        <v>44868.0</v>
      </c>
      <c r="G77" s="1">
        <f t="shared" si="3"/>
        <v>3615371</v>
      </c>
      <c r="H77" s="4">
        <f t="shared" si="4"/>
        <v>47570.67105</v>
      </c>
      <c r="I77" s="1">
        <v>1.0</v>
      </c>
      <c r="J77" s="1">
        <v>65.7</v>
      </c>
      <c r="K77" s="8" t="s">
        <v>14</v>
      </c>
    </row>
    <row r="78" ht="15.75" customHeight="1">
      <c r="A78" s="1">
        <v>77.0</v>
      </c>
      <c r="B78" s="3">
        <v>44868.0</v>
      </c>
      <c r="C78" s="1">
        <v>27.0</v>
      </c>
      <c r="D78" s="1">
        <f t="shared" si="1"/>
        <v>2634</v>
      </c>
      <c r="E78" s="2">
        <f t="shared" si="2"/>
        <v>34.20779221</v>
      </c>
      <c r="F78" s="1">
        <v>41438.0</v>
      </c>
      <c r="G78" s="1">
        <f t="shared" si="3"/>
        <v>3656809</v>
      </c>
      <c r="H78" s="4">
        <f t="shared" si="4"/>
        <v>47491.02597</v>
      </c>
      <c r="I78" s="1">
        <v>1.0</v>
      </c>
      <c r="J78" s="1">
        <v>65.7</v>
      </c>
      <c r="K78" s="8" t="s">
        <v>14</v>
      </c>
    </row>
    <row r="79" ht="15.75" customHeight="1">
      <c r="E79" s="2"/>
    </row>
    <row r="80" ht="15.75" customHeight="1">
      <c r="E80" s="2"/>
    </row>
    <row r="81" ht="15.75" customHeight="1">
      <c r="E81" s="2"/>
    </row>
    <row r="82" ht="15.75" customHeight="1">
      <c r="E82" s="2"/>
    </row>
    <row r="83" ht="15.75" customHeight="1">
      <c r="E83" s="2"/>
    </row>
    <row r="84" ht="15.75" customHeight="1">
      <c r="E84" s="2"/>
    </row>
    <row r="85" ht="15.75" customHeight="1">
      <c r="E85" s="2"/>
    </row>
    <row r="86" ht="15.75" customHeight="1">
      <c r="E86" s="2"/>
    </row>
    <row r="87" ht="15.75" customHeight="1">
      <c r="E87" s="2"/>
    </row>
    <row r="88" ht="15.75" customHeight="1">
      <c r="E88" s="2"/>
    </row>
    <row r="89" ht="15.75" customHeight="1">
      <c r="E89" s="2"/>
    </row>
    <row r="90" ht="15.75" customHeight="1">
      <c r="E90" s="2"/>
    </row>
    <row r="91" ht="15.75" customHeight="1">
      <c r="E91" s="2"/>
    </row>
    <row r="92" ht="15.75" customHeight="1">
      <c r="E92" s="2"/>
    </row>
    <row r="93" ht="15.75" customHeight="1">
      <c r="E93" s="2"/>
    </row>
    <row r="94" ht="15.75" customHeight="1">
      <c r="E94" s="2"/>
    </row>
    <row r="95" ht="15.75" customHeight="1">
      <c r="E95" s="2"/>
    </row>
    <row r="96" ht="15.75" customHeight="1">
      <c r="E96" s="2"/>
    </row>
    <row r="97" ht="15.75" customHeight="1">
      <c r="E97" s="2"/>
    </row>
    <row r="98" ht="15.75" customHeight="1">
      <c r="E98" s="2"/>
    </row>
    <row r="99" ht="15.75" customHeight="1">
      <c r="E99" s="2"/>
    </row>
    <row r="100" ht="15.75" customHeight="1">
      <c r="E100" s="2"/>
    </row>
    <row r="101" ht="15.75" customHeight="1">
      <c r="E101" s="2"/>
    </row>
    <row r="102" ht="15.75" customHeight="1">
      <c r="E102" s="2"/>
    </row>
    <row r="103" ht="15.75" customHeight="1">
      <c r="E103" s="2"/>
    </row>
    <row r="104" ht="15.75" customHeight="1">
      <c r="E104" s="2"/>
    </row>
    <row r="105" ht="15.75" customHeight="1">
      <c r="E105" s="2"/>
    </row>
    <row r="106" ht="15.75" customHeight="1">
      <c r="E106" s="2"/>
    </row>
    <row r="107" ht="15.75" customHeight="1">
      <c r="E107" s="2"/>
    </row>
    <row r="108" ht="15.75" customHeight="1">
      <c r="E108" s="2"/>
    </row>
    <row r="109" ht="15.75" customHeight="1">
      <c r="E109" s="2"/>
    </row>
    <row r="110" ht="15.75" customHeight="1">
      <c r="E110" s="2"/>
    </row>
    <row r="111" ht="15.75" customHeight="1">
      <c r="E111" s="2"/>
    </row>
    <row r="112" ht="15.75" customHeight="1">
      <c r="E112" s="2"/>
    </row>
    <row r="113" ht="15.75" customHeight="1">
      <c r="E113" s="2"/>
    </row>
    <row r="114" ht="15.75" customHeight="1">
      <c r="E114" s="2"/>
    </row>
    <row r="115" ht="15.75" customHeight="1">
      <c r="E115" s="2"/>
    </row>
    <row r="116" ht="15.75" customHeight="1">
      <c r="E116" s="2"/>
    </row>
    <row r="117" ht="15.75" customHeight="1">
      <c r="E117" s="2"/>
    </row>
    <row r="118" ht="15.75" customHeight="1">
      <c r="E118" s="2"/>
    </row>
    <row r="119" ht="15.75" customHeight="1">
      <c r="E119" s="2"/>
    </row>
    <row r="120" ht="15.75" customHeight="1">
      <c r="E120" s="2"/>
    </row>
    <row r="121" ht="15.75" customHeight="1">
      <c r="E121" s="2"/>
    </row>
    <row r="122" ht="15.75" customHeight="1">
      <c r="E122" s="2"/>
    </row>
    <row r="123" ht="15.75" customHeight="1">
      <c r="E123" s="2"/>
    </row>
    <row r="124" ht="15.75" customHeight="1">
      <c r="E124" s="2"/>
    </row>
    <row r="125" ht="15.75" customHeight="1">
      <c r="E125" s="2"/>
    </row>
    <row r="126" ht="15.75" customHeight="1">
      <c r="E126" s="2"/>
    </row>
    <row r="127" ht="15.75" customHeight="1">
      <c r="E127" s="2"/>
    </row>
    <row r="128" ht="15.75" customHeight="1">
      <c r="E128" s="2"/>
    </row>
    <row r="129" ht="15.75" customHeight="1">
      <c r="E129" s="2"/>
    </row>
    <row r="130" ht="15.75" customHeight="1">
      <c r="E130" s="2"/>
    </row>
    <row r="131" ht="15.75" customHeight="1">
      <c r="E131" s="2"/>
    </row>
    <row r="132" ht="15.75" customHeight="1">
      <c r="E132" s="2"/>
    </row>
    <row r="133" ht="15.75" customHeight="1">
      <c r="E133" s="2"/>
    </row>
    <row r="134" ht="15.75" customHeight="1">
      <c r="E134" s="2"/>
    </row>
    <row r="135" ht="15.75" customHeight="1">
      <c r="E135" s="2"/>
    </row>
    <row r="136" ht="15.75" customHeight="1">
      <c r="E136" s="2"/>
    </row>
    <row r="137" ht="15.75" customHeight="1">
      <c r="E137" s="2"/>
    </row>
    <row r="138" ht="15.75" customHeight="1">
      <c r="E138" s="2"/>
    </row>
    <row r="139" ht="15.75" customHeight="1">
      <c r="E139" s="2"/>
    </row>
    <row r="140" ht="15.75" customHeight="1">
      <c r="E140" s="2"/>
    </row>
    <row r="141" ht="15.75" customHeight="1">
      <c r="E141" s="2"/>
    </row>
    <row r="142" ht="15.75" customHeight="1">
      <c r="E142" s="2"/>
    </row>
    <row r="143" ht="15.75" customHeight="1">
      <c r="E143" s="2"/>
    </row>
    <row r="144" ht="15.75" customHeight="1">
      <c r="E144" s="2"/>
    </row>
    <row r="145" ht="15.75" customHeight="1">
      <c r="E145" s="2"/>
    </row>
    <row r="146" ht="15.75" customHeight="1">
      <c r="E146" s="2"/>
    </row>
    <row r="147" ht="15.75" customHeight="1">
      <c r="E147" s="2"/>
    </row>
    <row r="148" ht="15.75" customHeight="1">
      <c r="E148" s="2"/>
    </row>
    <row r="149" ht="15.75" customHeight="1">
      <c r="E149" s="2"/>
    </row>
    <row r="150" ht="15.75" customHeight="1">
      <c r="E150" s="2"/>
    </row>
    <row r="151" ht="15.75" customHeight="1">
      <c r="E151" s="2"/>
    </row>
    <row r="152" ht="15.75" customHeight="1">
      <c r="E152" s="2"/>
    </row>
    <row r="153" ht="15.75" customHeight="1">
      <c r="E153" s="2"/>
    </row>
    <row r="154" ht="15.75" customHeight="1">
      <c r="E154" s="2"/>
    </row>
    <row r="155" ht="15.75" customHeight="1">
      <c r="E155" s="2"/>
    </row>
    <row r="156" ht="15.75" customHeight="1">
      <c r="E156" s="2"/>
    </row>
    <row r="157" ht="15.75" customHeight="1">
      <c r="E157" s="2"/>
    </row>
    <row r="158" ht="15.75" customHeight="1">
      <c r="E158" s="2"/>
    </row>
    <row r="159" ht="15.75" customHeight="1">
      <c r="E159" s="2"/>
    </row>
    <row r="160" ht="15.75" customHeight="1">
      <c r="E160" s="2"/>
    </row>
    <row r="161" ht="15.75" customHeight="1">
      <c r="E161" s="2"/>
    </row>
    <row r="162" ht="15.75" customHeight="1">
      <c r="E162" s="2"/>
    </row>
    <row r="163" ht="15.75" customHeight="1">
      <c r="E163" s="2"/>
    </row>
    <row r="164" ht="15.75" customHeight="1">
      <c r="E164" s="2"/>
    </row>
    <row r="165" ht="15.75" customHeight="1">
      <c r="E165" s="2"/>
    </row>
    <row r="166" ht="15.75" customHeight="1">
      <c r="E166" s="2"/>
    </row>
    <row r="167" ht="15.75" customHeight="1">
      <c r="E167" s="2"/>
    </row>
    <row r="168" ht="15.75" customHeight="1">
      <c r="E168" s="2"/>
    </row>
    <row r="169" ht="15.75" customHeight="1">
      <c r="E169" s="2"/>
    </row>
    <row r="170" ht="15.75" customHeight="1">
      <c r="E170" s="2"/>
    </row>
    <row r="171" ht="15.75" customHeight="1">
      <c r="E171" s="2"/>
    </row>
    <row r="172" ht="15.75" customHeight="1">
      <c r="E172" s="2"/>
    </row>
    <row r="173" ht="15.75" customHeight="1">
      <c r="E173" s="2"/>
    </row>
    <row r="174" ht="15.75" customHeight="1">
      <c r="E174" s="2"/>
    </row>
    <row r="175" ht="15.75" customHeight="1">
      <c r="E175" s="2"/>
    </row>
    <row r="176" ht="15.75" customHeight="1">
      <c r="E176" s="2"/>
    </row>
    <row r="177" ht="15.75" customHeight="1">
      <c r="E177" s="2"/>
    </row>
    <row r="178" ht="15.75" customHeight="1">
      <c r="E178" s="2"/>
    </row>
    <row r="179" ht="15.75" customHeight="1">
      <c r="E179" s="2"/>
    </row>
    <row r="180" ht="15.75" customHeight="1">
      <c r="E180" s="2"/>
    </row>
    <row r="181" ht="15.75" customHeight="1">
      <c r="E181" s="2"/>
    </row>
    <row r="182" ht="15.75" customHeight="1">
      <c r="E182" s="2"/>
    </row>
    <row r="183" ht="15.75" customHeight="1">
      <c r="E183" s="2"/>
    </row>
    <row r="184" ht="15.75" customHeight="1">
      <c r="E184" s="2"/>
    </row>
    <row r="185" ht="15.75" customHeight="1">
      <c r="E185" s="2"/>
    </row>
    <row r="186" ht="15.75" customHeight="1">
      <c r="E186" s="2"/>
    </row>
    <row r="187" ht="15.75" customHeight="1">
      <c r="E187" s="2"/>
    </row>
    <row r="188" ht="15.75" customHeight="1">
      <c r="E188" s="2"/>
    </row>
    <row r="189" ht="15.75" customHeight="1">
      <c r="E189" s="2"/>
    </row>
    <row r="190" ht="15.75" customHeight="1">
      <c r="E190" s="2"/>
    </row>
    <row r="191" ht="15.75" customHeight="1">
      <c r="E191" s="2"/>
    </row>
    <row r="192" ht="15.75" customHeight="1">
      <c r="E192" s="2"/>
    </row>
    <row r="193" ht="15.75" customHeight="1">
      <c r="E193" s="2"/>
    </row>
    <row r="194" ht="15.75" customHeight="1">
      <c r="E194" s="2"/>
    </row>
    <row r="195" ht="15.75" customHeight="1">
      <c r="E195" s="2"/>
    </row>
    <row r="196" ht="15.75" customHeight="1">
      <c r="E196" s="2"/>
    </row>
    <row r="197" ht="15.75" customHeight="1">
      <c r="E197" s="2"/>
    </row>
    <row r="198" ht="15.75" customHeight="1">
      <c r="E198" s="2"/>
    </row>
    <row r="199" ht="15.75" customHeight="1">
      <c r="E199" s="2"/>
    </row>
    <row r="200" ht="15.75" customHeight="1">
      <c r="E200" s="2"/>
    </row>
    <row r="201" ht="15.75" customHeight="1">
      <c r="E201" s="2"/>
    </row>
    <row r="202" ht="15.75" customHeight="1">
      <c r="E202" s="2"/>
    </row>
    <row r="203" ht="15.75" customHeight="1">
      <c r="E203" s="2"/>
    </row>
    <row r="204" ht="15.75" customHeight="1">
      <c r="E204" s="2"/>
    </row>
    <row r="205" ht="15.75" customHeight="1">
      <c r="E205" s="2"/>
    </row>
    <row r="206" ht="15.75" customHeight="1">
      <c r="E206" s="2"/>
    </row>
    <row r="207" ht="15.75" customHeight="1">
      <c r="E207" s="2"/>
    </row>
    <row r="208" ht="15.75" customHeight="1">
      <c r="E208" s="2"/>
    </row>
    <row r="209" ht="15.75" customHeight="1">
      <c r="E209" s="2"/>
    </row>
    <row r="210" ht="15.75" customHeight="1">
      <c r="E210" s="2"/>
    </row>
    <row r="211" ht="15.75" customHeight="1">
      <c r="E211" s="2"/>
    </row>
    <row r="212" ht="15.75" customHeight="1">
      <c r="E212" s="2"/>
    </row>
    <row r="213" ht="15.75" customHeight="1">
      <c r="E213" s="2"/>
    </row>
    <row r="214" ht="15.75" customHeight="1">
      <c r="E214" s="2"/>
    </row>
    <row r="215" ht="15.75" customHeight="1">
      <c r="E215" s="2"/>
    </row>
    <row r="216" ht="15.75" customHeight="1">
      <c r="E216" s="2"/>
    </row>
    <row r="217" ht="15.75" customHeight="1">
      <c r="E217" s="2"/>
    </row>
    <row r="218" ht="15.75" customHeight="1">
      <c r="E218" s="2"/>
    </row>
    <row r="219" ht="15.75" customHeight="1">
      <c r="E219" s="2"/>
    </row>
    <row r="220" ht="15.75" customHeight="1">
      <c r="E220" s="2"/>
    </row>
    <row r="221" ht="15.75" customHeight="1">
      <c r="E221" s="2"/>
    </row>
    <row r="222" ht="15.75" customHeight="1">
      <c r="E222" s="2"/>
    </row>
    <row r="223" ht="15.75" customHeight="1">
      <c r="E223" s="2"/>
    </row>
    <row r="224" ht="15.75" customHeight="1">
      <c r="E224" s="2"/>
    </row>
    <row r="225" ht="15.75" customHeight="1">
      <c r="E225" s="2"/>
    </row>
    <row r="226" ht="15.75" customHeight="1">
      <c r="E226" s="2"/>
    </row>
    <row r="227" ht="15.75" customHeight="1">
      <c r="E227" s="2"/>
    </row>
    <row r="228" ht="15.75" customHeight="1">
      <c r="E228" s="2"/>
    </row>
    <row r="229" ht="15.75" customHeight="1">
      <c r="E229" s="2"/>
    </row>
    <row r="230" ht="15.75" customHeight="1">
      <c r="E230" s="2"/>
    </row>
    <row r="231" ht="15.75" customHeight="1">
      <c r="E231" s="2"/>
    </row>
    <row r="232" ht="15.75" customHeight="1">
      <c r="E232" s="2"/>
    </row>
    <row r="233" ht="15.75" customHeight="1">
      <c r="E233" s="2"/>
    </row>
    <row r="234" ht="15.75" customHeight="1">
      <c r="E234" s="2"/>
    </row>
    <row r="235" ht="15.75" customHeight="1">
      <c r="E235" s="2"/>
    </row>
    <row r="236" ht="15.75" customHeight="1">
      <c r="E236" s="2"/>
    </row>
    <row r="237" ht="15.75" customHeight="1">
      <c r="E237" s="2"/>
    </row>
    <row r="238" ht="15.75" customHeight="1">
      <c r="E238" s="2"/>
    </row>
    <row r="239" ht="15.75" customHeight="1">
      <c r="E239" s="2"/>
    </row>
    <row r="240" ht="15.75" customHeight="1">
      <c r="E240" s="2"/>
    </row>
    <row r="241" ht="15.75" customHeight="1">
      <c r="E241" s="2"/>
    </row>
    <row r="242" ht="15.75" customHeight="1">
      <c r="E242" s="2"/>
    </row>
    <row r="243" ht="15.75" customHeight="1">
      <c r="E243" s="2"/>
    </row>
    <row r="244" ht="15.75" customHeight="1">
      <c r="E244" s="2"/>
    </row>
    <row r="245" ht="15.75" customHeight="1">
      <c r="E245" s="2"/>
    </row>
    <row r="246" ht="15.75" customHeight="1">
      <c r="E246" s="2"/>
    </row>
    <row r="247" ht="15.75" customHeight="1">
      <c r="E247" s="2"/>
    </row>
    <row r="248" ht="15.75" customHeight="1">
      <c r="E248" s="2"/>
    </row>
    <row r="249" ht="15.75" customHeight="1">
      <c r="E249" s="2"/>
    </row>
    <row r="250" ht="15.75" customHeight="1">
      <c r="E250" s="2"/>
    </row>
    <row r="251" ht="15.75" customHeight="1">
      <c r="E251" s="2"/>
    </row>
    <row r="252" ht="15.75" customHeight="1">
      <c r="E252" s="2"/>
    </row>
    <row r="253" ht="15.75" customHeight="1">
      <c r="E253" s="2"/>
    </row>
    <row r="254" ht="15.75" customHeight="1">
      <c r="E254" s="2"/>
    </row>
    <row r="255" ht="15.75" customHeight="1">
      <c r="E255" s="2"/>
    </row>
    <row r="256" ht="15.75" customHeight="1">
      <c r="E256" s="2"/>
    </row>
    <row r="257" ht="15.75" customHeight="1">
      <c r="E257" s="2"/>
    </row>
    <row r="258" ht="15.75" customHeight="1">
      <c r="E258" s="2"/>
    </row>
    <row r="259" ht="15.75" customHeight="1">
      <c r="E259" s="2"/>
    </row>
    <row r="260" ht="15.75" customHeight="1">
      <c r="E260" s="2"/>
    </row>
    <row r="261" ht="15.75" customHeight="1">
      <c r="E261" s="2"/>
    </row>
    <row r="262" ht="15.75" customHeight="1">
      <c r="E262" s="2"/>
    </row>
    <row r="263" ht="15.75" customHeight="1">
      <c r="E263" s="2"/>
    </row>
    <row r="264" ht="15.75" customHeight="1">
      <c r="E264" s="2"/>
    </row>
    <row r="265" ht="15.75" customHeight="1">
      <c r="E265" s="2"/>
    </row>
    <row r="266" ht="15.75" customHeight="1">
      <c r="E266" s="2"/>
    </row>
    <row r="267" ht="15.75" customHeight="1">
      <c r="E267" s="2"/>
    </row>
    <row r="268" ht="15.75" customHeight="1">
      <c r="E268" s="2"/>
    </row>
    <row r="269" ht="15.75" customHeight="1">
      <c r="E269" s="2"/>
    </row>
    <row r="270" ht="15.75" customHeight="1">
      <c r="E270" s="2"/>
    </row>
    <row r="271" ht="15.75" customHeight="1">
      <c r="E271" s="2"/>
    </row>
    <row r="272" ht="15.75" customHeight="1">
      <c r="E272" s="2"/>
    </row>
    <row r="273" ht="15.75" customHeight="1">
      <c r="E273" s="2"/>
    </row>
    <row r="274" ht="15.75" customHeight="1">
      <c r="E274" s="2"/>
    </row>
    <row r="275" ht="15.75" customHeight="1">
      <c r="E275" s="2"/>
    </row>
    <row r="276" ht="15.75" customHeight="1">
      <c r="E276" s="2"/>
    </row>
    <row r="277" ht="15.75" customHeight="1">
      <c r="E277" s="2"/>
    </row>
    <row r="278" ht="15.75" customHeight="1">
      <c r="E278" s="2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6" width="12.63"/>
  </cols>
  <sheetData>
    <row r="1" ht="15.75" customHeight="1">
      <c r="A1" s="9"/>
      <c r="B1" s="10" t="s">
        <v>15</v>
      </c>
      <c r="C1" s="10" t="s">
        <v>16</v>
      </c>
      <c r="D1" s="10" t="s">
        <v>17</v>
      </c>
      <c r="E1" s="10" t="s">
        <v>18</v>
      </c>
      <c r="F1" s="11" t="s">
        <v>19</v>
      </c>
    </row>
    <row r="2" ht="15.75" customHeight="1">
      <c r="A2" s="12" t="s">
        <v>20</v>
      </c>
      <c r="B2" s="13">
        <f>Overview!D78</f>
        <v>2634</v>
      </c>
      <c r="C2" s="1">
        <f>Overview!D20</f>
        <v>618</v>
      </c>
      <c r="D2" s="1">
        <f>Overview!D58-C2</f>
        <v>1332</v>
      </c>
      <c r="E2" s="1">
        <f>Overview!D67-C2-D2</f>
        <v>328</v>
      </c>
      <c r="F2" s="14">
        <f t="shared" ref="F2:F3" si="1">B2-C2-D2-E2</f>
        <v>356</v>
      </c>
    </row>
    <row r="3" ht="15.75" customHeight="1">
      <c r="A3" s="12" t="s">
        <v>21</v>
      </c>
      <c r="B3" s="13">
        <f>Overview!A78</f>
        <v>77</v>
      </c>
      <c r="C3" s="1">
        <f>Overview!A20</f>
        <v>19</v>
      </c>
      <c r="D3" s="1">
        <f>Overview!A58-C3</f>
        <v>38</v>
      </c>
      <c r="E3" s="1">
        <f>Overview!A67-C3-D3</f>
        <v>9</v>
      </c>
      <c r="F3" s="14">
        <f t="shared" si="1"/>
        <v>11</v>
      </c>
    </row>
    <row r="4" ht="15.75" customHeight="1">
      <c r="A4" s="12" t="s">
        <v>22</v>
      </c>
      <c r="B4" s="15">
        <f>Overview!E78</f>
        <v>34.20779221</v>
      </c>
      <c r="C4" s="2">
        <f>Overview!E20</f>
        <v>32.52631579</v>
      </c>
      <c r="D4" s="2">
        <f>SUM(Overview!C21:C58)/D3</f>
        <v>35.05263158</v>
      </c>
      <c r="E4" s="2">
        <f>SUM(Overview!C59:C67)/E3</f>
        <v>36.44444444</v>
      </c>
      <c r="F4" s="16">
        <f>SUM(Overview!C68:C78)/F3</f>
        <v>32.36363636</v>
      </c>
    </row>
    <row r="5" ht="15.75" customHeight="1">
      <c r="A5" s="12" t="s">
        <v>23</v>
      </c>
      <c r="B5" s="13">
        <f>Overview!G78</f>
        <v>3656809</v>
      </c>
      <c r="C5" s="1">
        <f>Overview!G20</f>
        <v>842764</v>
      </c>
      <c r="D5" s="1">
        <f>SUM(Overview!F21:F58)</f>
        <v>1885333</v>
      </c>
      <c r="E5" s="1">
        <f>SUM(Overview!F59:F67)</f>
        <v>439208</v>
      </c>
      <c r="F5" s="14">
        <f>SUM(Overview!F68:F78)</f>
        <v>489504</v>
      </c>
    </row>
    <row r="6" ht="15.75" customHeight="1">
      <c r="A6" s="12" t="s">
        <v>24</v>
      </c>
      <c r="B6" s="17">
        <f>Overview!H78</f>
        <v>47491.02597</v>
      </c>
      <c r="C6" s="1">
        <f t="shared" ref="C6:F6" si="2">C5/C3</f>
        <v>44356</v>
      </c>
      <c r="D6" s="17">
        <f t="shared" si="2"/>
        <v>49614.02632</v>
      </c>
      <c r="E6" s="4">
        <f t="shared" si="2"/>
        <v>48800.88889</v>
      </c>
      <c r="F6" s="18">
        <f t="shared" si="2"/>
        <v>44500.36364</v>
      </c>
    </row>
    <row r="7" ht="15.75" customHeight="1">
      <c r="A7" s="12" t="s">
        <v>25</v>
      </c>
      <c r="B7" s="19">
        <f>SUM(Overview!I1:I77)</f>
        <v>64</v>
      </c>
      <c r="C7" s="19">
        <f>SUM(Overview!I1:I19)</f>
        <v>12</v>
      </c>
      <c r="D7" s="20">
        <f>SUM(Overview!I20:I57)</f>
        <v>37</v>
      </c>
      <c r="E7" s="19">
        <f>SUM(Overview!I58:I66)</f>
        <v>8</v>
      </c>
      <c r="F7" s="21">
        <f>SUM(Overview!I67:I77)</f>
        <v>7</v>
      </c>
    </row>
    <row r="8" ht="15.75" customHeight="1">
      <c r="A8" s="22" t="s">
        <v>26</v>
      </c>
      <c r="B8" s="23">
        <f>SUM(Overview!I2:I78)/Overview!A78</f>
        <v>0.8441558442</v>
      </c>
      <c r="C8" s="23">
        <f>SUM(Overview!I2:I20)/Overview!A20</f>
        <v>0.6842105263</v>
      </c>
      <c r="D8" s="24">
        <f>SUM(Overview!I21:I58)/D3</f>
        <v>0.9736842105</v>
      </c>
      <c r="E8" s="23">
        <f>SUM(Overview!I59:I67)/E3</f>
        <v>0.7777777778</v>
      </c>
      <c r="F8" s="25">
        <f>SUM(Overview!I68:I78)/F3</f>
        <v>0.7272727273</v>
      </c>
    </row>
    <row r="9" ht="15.75" customHeight="1">
      <c r="A9" s="22" t="s">
        <v>27</v>
      </c>
      <c r="B9" s="1">
        <f>Overview!J2</f>
        <v>69</v>
      </c>
      <c r="C9" s="1">
        <f>Overview!J2</f>
        <v>69</v>
      </c>
      <c r="D9" s="1">
        <f>Overview!J21</f>
        <v>64.5</v>
      </c>
      <c r="E9" s="1">
        <f>Overview!J59</f>
        <v>63.7</v>
      </c>
      <c r="F9" s="14">
        <f>Overview!J68</f>
        <v>65.5</v>
      </c>
    </row>
    <row r="10" ht="15.75" customHeight="1">
      <c r="A10" s="26" t="s">
        <v>28</v>
      </c>
      <c r="B10" s="27">
        <f>Overview!J78-Overview!J2</f>
        <v>-3.3</v>
      </c>
      <c r="C10" s="28">
        <f>Overview!J20-Overview!J2</f>
        <v>-4.5</v>
      </c>
      <c r="D10" s="27">
        <f>Overview!J58-Overview!J21</f>
        <v>-0.8</v>
      </c>
      <c r="E10" s="27">
        <f>Overview!J67-Overview!J59</f>
        <v>1.8</v>
      </c>
      <c r="F10" s="29">
        <f>Overview!J78-Overview!J68</f>
        <v>0.2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